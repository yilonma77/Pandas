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 codeName="{6A26FB3C-EA34-E94E-B44F-155022A03E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rtk/Desktop/Portfolio/"/>
    </mc:Choice>
  </mc:AlternateContent>
  <xr:revisionPtr revIDLastSave="0" documentId="13_ncr:1_{FE046F5B-EAA7-A64B-973F-BC9E0D172B61}" xr6:coauthVersionLast="47" xr6:coauthVersionMax="47" xr10:uidLastSave="{00000000-0000-0000-0000-000000000000}"/>
  <bookViews>
    <workbookView xWindow="35700" yWindow="760" windowWidth="31380" windowHeight="19940" activeTab="1" xr2:uid="{F9647580-C1B8-FC46-A01E-981C21178C93}"/>
  </bookViews>
  <sheets>
    <sheet name="Sheet1" sheetId="4" r:id="rId1"/>
    <sheet name="FXOBS" sheetId="5" r:id="rId2"/>
    <sheet name="BS" sheetId="1" r:id="rId3"/>
    <sheet name="Greeks" sheetId="3" r:id="rId4"/>
    <sheet name="Feuil1" sheetId="2" r:id="rId5"/>
  </sheets>
  <functionGroups builtInGroupCount="19"/>
  <definedNames>
    <definedName name="_xleta.LN" hidden="1" xlm="1">#NAME?</definedName>
    <definedName name="CallPrice" localSheetId="1">FXOBS!$C$17</definedName>
    <definedName name="CallPrice">BS!$C$17</definedName>
    <definedName name="dOne" localSheetId="1">FXOBS!$C$11</definedName>
    <definedName name="dOne">BS!$C$11</definedName>
    <definedName name="dTwo" localSheetId="1">FXOBS!$C$12</definedName>
    <definedName name="dTwo">BS!$C$12</definedName>
    <definedName name="fw">FXOBS!$D$8</definedName>
    <definedName name="Id">Greeks!$I$6</definedName>
    <definedName name="Iddeux">Greeks!$J$6</definedName>
    <definedName name="IR" localSheetId="1">FXOBS!$D$10</definedName>
    <definedName name="IR">BS!$D$9</definedName>
    <definedName name="IRD">FXOBS!$D$9</definedName>
    <definedName name="IRF">FXOBS!$D$9</definedName>
    <definedName name="K" localSheetId="1">FXOBS!$D$5</definedName>
    <definedName name="K">BS!$D$6</definedName>
    <definedName name="ndOne" localSheetId="1">FXOBS!$C$13</definedName>
    <definedName name="ndOne">BS!$C$13</definedName>
    <definedName name="ndTwo" localSheetId="1">FXOBS!$C$14</definedName>
    <definedName name="ndTwo">BS!$C$14</definedName>
    <definedName name="PutPrice">FXOBS!$C$18</definedName>
    <definedName name="S" localSheetId="1">FXOBS!$D$4</definedName>
    <definedName name="S">BS!$D$5</definedName>
    <definedName name="Sd">Greeks!$I$3</definedName>
    <definedName name="Sddeux">Greeks!$J$3</definedName>
    <definedName name="Sigma" localSheetId="1">FXOBS!$D$7</definedName>
    <definedName name="Sigma">BS!$D$8</definedName>
    <definedName name="solver_adj" localSheetId="2" hidden="1">BS!$K$20:$K$25</definedName>
    <definedName name="solver_adj" localSheetId="1" hidden="1">FXOBS!$K$20:$K$25</definedName>
    <definedName name="solver_cvg" localSheetId="2" hidden="1">0.0001</definedName>
    <definedName name="solver_cvg" localSheetId="1" hidden="1">0.0001</definedName>
    <definedName name="solver_drv" localSheetId="2" hidden="1">1</definedName>
    <definedName name="solver_drv" localSheetId="1" hidden="1">1</definedName>
    <definedName name="solver_eng" localSheetId="2" hidden="1">1</definedName>
    <definedName name="solver_eng" localSheetId="1" hidden="1">1</definedName>
    <definedName name="solver_itr" localSheetId="2" hidden="1">100</definedName>
    <definedName name="solver_itr" localSheetId="1" hidden="1">100</definedName>
    <definedName name="solver_lin" localSheetId="2" hidden="1">2</definedName>
    <definedName name="solver_lin" localSheetId="1" hidden="1">2</definedName>
    <definedName name="solver_mip" localSheetId="2" hidden="1">2147483647</definedName>
    <definedName name="solver_mip" localSheetId="1" hidden="1">2147483647</definedName>
    <definedName name="solver_mni" localSheetId="2" hidden="1">30</definedName>
    <definedName name="solver_mni" localSheetId="1" hidden="1">30</definedName>
    <definedName name="solver_mrt" localSheetId="2" hidden="1">0.075</definedName>
    <definedName name="solver_mrt" localSheetId="1" hidden="1">0.075</definedName>
    <definedName name="solver_msl" localSheetId="2" hidden="1">2</definedName>
    <definedName name="solver_msl" localSheetId="1" hidden="1">2</definedName>
    <definedName name="solver_neg" localSheetId="2" hidden="1">1</definedName>
    <definedName name="solver_neg" localSheetId="1" hidden="1">1</definedName>
    <definedName name="solver_nod" localSheetId="2" hidden="1">2147483647</definedName>
    <definedName name="solver_nod" localSheetId="1" hidden="1">2147483647</definedName>
    <definedName name="solver_num" localSheetId="2" hidden="1">0</definedName>
    <definedName name="solver_num" localSheetId="1" hidden="1">0</definedName>
    <definedName name="solver_opt" localSheetId="2" hidden="1">BS!$I$19</definedName>
    <definedName name="solver_opt" localSheetId="1" hidden="1">FXOBS!$I$19</definedName>
    <definedName name="solver_pre" localSheetId="2" hidden="1">0.000001</definedName>
    <definedName name="solver_pre" localSheetId="1" hidden="1">0.000001</definedName>
    <definedName name="solver_rbv" localSheetId="2" hidden="1">1</definedName>
    <definedName name="solver_rbv" localSheetId="1" hidden="1">1</definedName>
    <definedName name="solver_rlx" localSheetId="2" hidden="1">1</definedName>
    <definedName name="solver_rlx" localSheetId="1" hidden="1">1</definedName>
    <definedName name="solver_rsd" localSheetId="2" hidden="1">0</definedName>
    <definedName name="solver_rsd" localSheetId="1" hidden="1">0</definedName>
    <definedName name="solver_scl" localSheetId="2" hidden="1">2</definedName>
    <definedName name="solver_scl" localSheetId="1" hidden="1">2</definedName>
    <definedName name="solver_sho" localSheetId="2" hidden="1">2</definedName>
    <definedName name="solver_sho" localSheetId="1" hidden="1">2</definedName>
    <definedName name="solver_ssz" localSheetId="2" hidden="1">100</definedName>
    <definedName name="solver_ssz" localSheetId="1" hidden="1">100</definedName>
    <definedName name="solver_tim" localSheetId="2" hidden="1">100</definedName>
    <definedName name="solver_tim" localSheetId="1" hidden="1">100</definedName>
    <definedName name="solver_tol" localSheetId="2" hidden="1">0.05</definedName>
    <definedName name="solver_tol" localSheetId="1" hidden="1">0.05</definedName>
    <definedName name="solver_typ" localSheetId="2" hidden="1">2</definedName>
    <definedName name="solver_typ" localSheetId="1" hidden="1">2</definedName>
    <definedName name="solver_val" localSheetId="2" hidden="1">0</definedName>
    <definedName name="solver_val" localSheetId="1" hidden="1">0</definedName>
    <definedName name="solver_ver" localSheetId="2" hidden="1">2</definedName>
    <definedName name="solver_ver" localSheetId="1" hidden="1">2</definedName>
    <definedName name="Spot">Greeks!$I$3</definedName>
    <definedName name="T" localSheetId="1">FXOBS!$D$6</definedName>
    <definedName name="T">BS!$D$7</definedName>
    <definedName name="Td">Greeks!$I$4</definedName>
    <definedName name="Tddeux">Greeks!$J$4</definedName>
    <definedName name="Tdeux">Greeks!$I$4</definedName>
    <definedName name="Type">Greeks!$A$1</definedName>
    <definedName name="Vd">Greeks!$I$5</definedName>
    <definedName name="Vddeux">Greeks!$J$5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7" i="5" l="1" a="1"/>
  <c r="E67" i="5" s="1"/>
  <c r="C11" i="5"/>
  <c r="C12" i="5" s="1"/>
  <c r="F9" i="5"/>
  <c r="K12" i="5"/>
  <c r="F12" i="5"/>
  <c r="M68" i="5"/>
  <c r="G16" i="1"/>
  <c r="AD6" i="5" a="1"/>
  <c r="X3" i="2"/>
  <c r="C10" i="5"/>
  <c r="C9" i="5"/>
  <c r="E20" i="4"/>
  <c r="E21" i="4" s="1"/>
  <c r="E22" i="4" s="1"/>
  <c r="G19" i="4"/>
  <c r="F16" i="4"/>
  <c r="B29" i="5" a="1"/>
  <c r="B29" i="5" s="1"/>
  <c r="B42" i="5" s="1" a="1"/>
  <c r="B42" i="5" s="1"/>
  <c r="C28" i="5" a="1"/>
  <c r="C28" i="5" s="1"/>
  <c r="C41" i="5" s="1" a="1"/>
  <c r="C41" i="5" s="1"/>
  <c r="F19" i="4"/>
  <c r="E19" i="4"/>
  <c r="F17" i="4" s="1"/>
  <c r="F66" i="5"/>
  <c r="C21" i="5"/>
  <c r="G22" i="5" a="1"/>
  <c r="E22" i="5" a="1"/>
  <c r="E21" i="5" a="1"/>
  <c r="D21" i="5"/>
  <c r="G21" i="5" a="1"/>
  <c r="D22" i="5"/>
  <c r="C22" i="5"/>
  <c r="G67" i="5" l="1"/>
  <c r="E9" i="5"/>
  <c r="F22" i="5"/>
  <c r="AD6" i="5"/>
  <c r="AF6" i="5" s="1"/>
  <c r="AF54" i="5"/>
  <c r="AF22" i="5"/>
  <c r="AF23" i="5"/>
  <c r="AF10" i="5"/>
  <c r="AF27" i="5"/>
  <c r="AF34" i="5"/>
  <c r="AF45" i="5"/>
  <c r="AF12" i="5"/>
  <c r="AF35" i="5"/>
  <c r="AF46" i="5"/>
  <c r="AF13" i="5"/>
  <c r="AF28" i="5"/>
  <c r="AF38" i="5"/>
  <c r="AF49" i="5"/>
  <c r="AF30" i="5"/>
  <c r="AF51" i="5"/>
  <c r="AF7" i="5"/>
  <c r="AF31" i="5"/>
  <c r="AF52" i="5"/>
  <c r="AF8" i="5"/>
  <c r="AF32" i="5"/>
  <c r="AF43" i="5"/>
  <c r="AF53" i="5"/>
  <c r="AF14" i="5"/>
  <c r="AF39" i="5"/>
  <c r="AF50" i="5"/>
  <c r="AF17" i="5"/>
  <c r="AF40" i="5"/>
  <c r="AF18" i="5"/>
  <c r="AF42" i="5"/>
  <c r="AF9" i="5"/>
  <c r="AF24" i="5"/>
  <c r="AF33" i="5"/>
  <c r="AF44" i="5"/>
  <c r="AF55" i="5"/>
  <c r="G21" i="5"/>
  <c r="E21" i="5"/>
  <c r="E22" i="5"/>
  <c r="G22" i="5"/>
  <c r="AF15" i="5"/>
  <c r="AF19" i="5"/>
  <c r="AF25" i="5"/>
  <c r="AF36" i="5"/>
  <c r="AF41" i="5"/>
  <c r="AF47" i="5"/>
  <c r="AF11" i="5"/>
  <c r="AF16" i="5"/>
  <c r="AF20" i="5"/>
  <c r="AF21" i="5"/>
  <c r="AF26" i="5"/>
  <c r="AF29" i="5"/>
  <c r="AF37" i="5"/>
  <c r="AF48" i="5"/>
  <c r="Q6" i="1" a="1"/>
  <c r="Q6" i="1" s="1"/>
  <c r="S6" i="1" s="1"/>
  <c r="B3" i="3"/>
  <c r="AB3" i="3"/>
  <c r="AC58" i="3"/>
  <c r="AC52" i="3"/>
  <c r="AC67" i="3"/>
  <c r="AC68" i="3"/>
  <c r="AC81" i="3"/>
  <c r="AC17" i="3"/>
  <c r="AC80" i="3"/>
  <c r="AC48" i="3"/>
  <c r="AC16" i="3"/>
  <c r="AC15" i="3"/>
  <c r="AC69" i="3"/>
  <c r="AC37" i="3"/>
  <c r="AC63" i="3"/>
  <c r="AC31" i="3"/>
  <c r="AC42" i="3"/>
  <c r="AC12" i="3"/>
  <c r="AC51" i="3"/>
  <c r="AC44" i="3"/>
  <c r="AC65" i="3"/>
  <c r="AC100" i="3"/>
  <c r="AC72" i="3"/>
  <c r="AC40" i="3"/>
  <c r="AC8" i="3"/>
  <c r="AC102" i="3"/>
  <c r="AC61" i="3"/>
  <c r="AC29" i="3"/>
  <c r="AC88" i="3"/>
  <c r="AC82" i="3"/>
  <c r="AC18" i="3"/>
  <c r="AC91" i="3"/>
  <c r="AC27" i="3"/>
  <c r="AC103" i="3"/>
  <c r="AC41" i="3"/>
  <c r="AC20" i="3"/>
  <c r="AC62" i="3"/>
  <c r="AC30" i="3"/>
  <c r="AC13" i="3"/>
  <c r="AC79" i="3"/>
  <c r="AC47" i="3"/>
  <c r="AC10" i="3"/>
  <c r="AC19" i="3"/>
  <c r="AC97" i="3"/>
  <c r="AC101" i="3"/>
  <c r="AC24" i="3"/>
  <c r="AC77" i="3"/>
  <c r="AC4" i="3"/>
  <c r="AC92" i="3"/>
  <c r="AC11" i="3"/>
  <c r="AC25" i="3"/>
  <c r="AC54" i="3"/>
  <c r="AC23" i="3"/>
  <c r="AC39" i="3"/>
  <c r="AC50" i="3"/>
  <c r="AC28" i="3"/>
  <c r="AC59" i="3"/>
  <c r="AC60" i="3"/>
  <c r="AC73" i="3"/>
  <c r="AC9" i="3"/>
  <c r="AC78" i="3"/>
  <c r="AC46" i="3"/>
  <c r="AC14" i="3"/>
  <c r="AC5" i="3"/>
  <c r="AC95" i="3"/>
  <c r="AC83" i="3"/>
  <c r="AC33" i="3"/>
  <c r="AC56" i="3"/>
  <c r="AC94" i="3"/>
  <c r="AC45" i="3"/>
  <c r="AC66" i="3"/>
  <c r="AC75" i="3"/>
  <c r="AC89" i="3"/>
  <c r="AC87" i="3"/>
  <c r="AC22" i="3"/>
  <c r="AC71" i="3"/>
  <c r="AC98" i="3"/>
  <c r="AC34" i="3"/>
  <c r="AC85" i="3"/>
  <c r="AC43" i="3"/>
  <c r="AC36" i="3"/>
  <c r="AC57" i="3"/>
  <c r="AC84" i="3"/>
  <c r="AC70" i="3"/>
  <c r="AC38" i="3"/>
  <c r="AC6" i="3"/>
  <c r="AC96" i="3"/>
  <c r="AC55" i="3"/>
  <c r="AC7" i="3"/>
  <c r="AC90" i="3"/>
  <c r="AC26" i="3"/>
  <c r="AC99" i="3"/>
  <c r="AC35" i="3"/>
  <c r="AC93" i="3"/>
  <c r="AC49" i="3"/>
  <c r="AC76" i="3"/>
  <c r="AC64" i="3"/>
  <c r="AC32" i="3"/>
  <c r="AC21" i="3"/>
  <c r="AC86" i="3"/>
  <c r="AC53" i="3"/>
  <c r="AC74" i="3"/>
  <c r="F21" i="5" l="1"/>
  <c r="E24" i="5"/>
  <c r="C14" i="5"/>
  <c r="C13" i="5"/>
  <c r="D24" i="5"/>
  <c r="D25" i="5"/>
  <c r="S45" i="1"/>
  <c r="S34" i="1"/>
  <c r="S21" i="1"/>
  <c r="S44" i="1"/>
  <c r="S33" i="1"/>
  <c r="S20" i="1"/>
  <c r="S54" i="1"/>
  <c r="S43" i="1"/>
  <c r="S30" i="1"/>
  <c r="S19" i="1"/>
  <c r="S53" i="1"/>
  <c r="S42" i="1"/>
  <c r="S29" i="1"/>
  <c r="S27" i="1"/>
  <c r="S51" i="1"/>
  <c r="S37" i="1"/>
  <c r="S48" i="1"/>
  <c r="S36" i="1"/>
  <c r="S25" i="1"/>
  <c r="S52" i="1"/>
  <c r="S40" i="1"/>
  <c r="S26" i="1"/>
  <c r="S46" i="1"/>
  <c r="S35" i="1"/>
  <c r="S24" i="1"/>
  <c r="S11" i="1"/>
  <c r="S10" i="1"/>
  <c r="S9" i="1"/>
  <c r="S17" i="1"/>
  <c r="S16" i="1"/>
  <c r="S14" i="1"/>
  <c r="S12" i="1"/>
  <c r="S49" i="1"/>
  <c r="S38" i="1"/>
  <c r="S28" i="1"/>
  <c r="S18" i="1"/>
  <c r="S8" i="1"/>
  <c r="S50" i="1"/>
  <c r="S41" i="1"/>
  <c r="S32" i="1"/>
  <c r="S22" i="1"/>
  <c r="S13" i="1"/>
  <c r="S55" i="1"/>
  <c r="S47" i="1"/>
  <c r="S39" i="1"/>
  <c r="S31" i="1"/>
  <c r="S23" i="1"/>
  <c r="S15" i="1"/>
  <c r="S7" i="1"/>
  <c r="C102" i="3"/>
  <c r="C94" i="3"/>
  <c r="C86" i="3"/>
  <c r="C78" i="3"/>
  <c r="C70" i="3"/>
  <c r="C62" i="3"/>
  <c r="C54" i="3"/>
  <c r="C46" i="3"/>
  <c r="C38" i="3"/>
  <c r="C30" i="3"/>
  <c r="C22" i="3"/>
  <c r="C14" i="3"/>
  <c r="C6" i="3"/>
  <c r="B30" i="3"/>
  <c r="D86" i="3" a="1"/>
  <c r="B6" i="3"/>
  <c r="D81" i="3" a="1"/>
  <c r="D80" i="3" a="1"/>
  <c r="F42" i="3" a="1"/>
  <c r="B11" i="3"/>
  <c r="D12" i="3" a="1"/>
  <c r="F4" i="3" a="1"/>
  <c r="F99" i="3" a="1"/>
  <c r="B60" i="3"/>
  <c r="B43" i="3"/>
  <c r="F94" i="3" a="1"/>
  <c r="F84" i="3" a="1"/>
  <c r="D66" i="3" a="1"/>
  <c r="F5" i="3" a="1"/>
  <c r="D4" i="3" a="1"/>
  <c r="D62" i="3" a="1"/>
  <c r="B13" i="3"/>
  <c r="B34" i="3"/>
  <c r="B87" i="3"/>
  <c r="B79" i="3"/>
  <c r="D46" i="3" a="1"/>
  <c r="B33" i="3"/>
  <c r="D7" i="3" a="1"/>
  <c r="B38" i="3"/>
  <c r="F13" i="3" a="1"/>
  <c r="B88" i="3"/>
  <c r="B42" i="3"/>
  <c r="F87" i="3" a="1"/>
  <c r="D60" i="3" a="1"/>
  <c r="F59" i="3" a="1"/>
  <c r="D44" i="3" a="1"/>
  <c r="B8" i="3"/>
  <c r="F43" i="3" a="1"/>
  <c r="D32" i="3" a="1"/>
  <c r="D77" i="3" a="1"/>
  <c r="C101" i="3"/>
  <c r="C93" i="3"/>
  <c r="C85" i="3"/>
  <c r="C77" i="3"/>
  <c r="C69" i="3"/>
  <c r="C61" i="3"/>
  <c r="C53" i="3"/>
  <c r="C45" i="3"/>
  <c r="C37" i="3"/>
  <c r="C29" i="3"/>
  <c r="C21" i="3"/>
  <c r="C13" i="3"/>
  <c r="C5" i="3"/>
  <c r="F88" i="3" a="1"/>
  <c r="D70" i="3" a="1"/>
  <c r="F22" i="3" a="1"/>
  <c r="B7" i="3"/>
  <c r="B91" i="3"/>
  <c r="B15" i="3"/>
  <c r="D103" i="3" a="1"/>
  <c r="F83" i="3" a="1"/>
  <c r="B12" i="3"/>
  <c r="F17" i="3" a="1"/>
  <c r="B51" i="3"/>
  <c r="B86" i="3"/>
  <c r="B24" i="3"/>
  <c r="F101" i="3" a="1"/>
  <c r="F46" i="3" a="1"/>
  <c r="F14" i="3" a="1"/>
  <c r="F58" i="3" a="1"/>
  <c r="B20" i="3"/>
  <c r="B35" i="3"/>
  <c r="D20" i="3" a="1"/>
  <c r="B5" i="3"/>
  <c r="B52" i="3"/>
  <c r="D42" i="3" a="1"/>
  <c r="F11" i="3" a="1"/>
  <c r="F12" i="3" a="1"/>
  <c r="C100" i="3"/>
  <c r="C92" i="3"/>
  <c r="C84" i="3"/>
  <c r="C76" i="3"/>
  <c r="C68" i="3"/>
  <c r="C60" i="3"/>
  <c r="C52" i="3"/>
  <c r="C44" i="3"/>
  <c r="C36" i="3"/>
  <c r="C28" i="3"/>
  <c r="C20" i="3"/>
  <c r="C12" i="3"/>
  <c r="C4" i="3"/>
  <c r="F72" i="3" a="1"/>
  <c r="D54" i="3" a="1"/>
  <c r="F53" i="3" a="1"/>
  <c r="F49" i="3" a="1"/>
  <c r="F37" i="3" a="1"/>
  <c r="F73" i="3" a="1"/>
  <c r="B73" i="3"/>
  <c r="F33" i="3" a="1"/>
  <c r="D87" i="3" a="1"/>
  <c r="F67" i="3" a="1"/>
  <c r="D68" i="3" a="1"/>
  <c r="B78" i="3"/>
  <c r="B56" i="3"/>
  <c r="F52" i="3" a="1"/>
  <c r="D34" i="3" a="1"/>
  <c r="D57" i="3" a="1"/>
  <c r="D17" i="3" a="1"/>
  <c r="B18" i="3"/>
  <c r="D99" i="3" a="1"/>
  <c r="F79" i="3" a="1"/>
  <c r="B75" i="3"/>
  <c r="D13" i="3" a="1"/>
  <c r="F45" i="3" a="1"/>
  <c r="B62" i="3"/>
  <c r="D90" i="3" a="1"/>
  <c r="F18" i="3" a="1"/>
  <c r="B96" i="3"/>
  <c r="D96" i="3" a="1"/>
  <c r="D75" i="3" a="1"/>
  <c r="D95" i="3" a="1"/>
  <c r="B68" i="3"/>
  <c r="D97" i="3" a="1"/>
  <c r="D49" i="3" a="1"/>
  <c r="D85" i="3" a="1"/>
  <c r="D100" i="3" a="1"/>
  <c r="D76" i="3" a="1"/>
  <c r="F82" i="3" a="1"/>
  <c r="F75" i="3" a="1"/>
  <c r="D24" i="3" a="1"/>
  <c r="B44" i="3"/>
  <c r="F91" i="3" a="1"/>
  <c r="C99" i="3"/>
  <c r="C91" i="3"/>
  <c r="C83" i="3"/>
  <c r="C75" i="3"/>
  <c r="C67" i="3"/>
  <c r="C59" i="3"/>
  <c r="C51" i="3"/>
  <c r="C43" i="3"/>
  <c r="C35" i="3"/>
  <c r="C27" i="3"/>
  <c r="C19" i="3"/>
  <c r="C11" i="3"/>
  <c r="F103" i="3" a="1"/>
  <c r="F56" i="3" a="1"/>
  <c r="D38" i="3" a="1"/>
  <c r="F70" i="3" a="1"/>
  <c r="D56" i="3" a="1"/>
  <c r="B28" i="3"/>
  <c r="D28" i="3" a="1"/>
  <c r="F96" i="3" a="1"/>
  <c r="B67" i="3"/>
  <c r="D71" i="3" a="1"/>
  <c r="F51" i="3" a="1"/>
  <c r="D9" i="3" a="1"/>
  <c r="F48" i="3" a="1"/>
  <c r="B81" i="3"/>
  <c r="F36" i="3" a="1"/>
  <c r="D18" i="3" a="1"/>
  <c r="D25" i="3" a="1"/>
  <c r="D101" i="3" a="1"/>
  <c r="B63" i="3"/>
  <c r="D83" i="3" a="1"/>
  <c r="F63" i="3" a="1"/>
  <c r="D29" i="3" a="1"/>
  <c r="F90" i="3" a="1"/>
  <c r="F102" i="3" a="1"/>
  <c r="F92" i="3" a="1"/>
  <c r="D74" i="3" a="1"/>
  <c r="D59" i="3" a="1"/>
  <c r="F39" i="3" a="1"/>
  <c r="F74" i="3" a="1"/>
  <c r="B85" i="3"/>
  <c r="B95" i="3"/>
  <c r="B99" i="3"/>
  <c r="B55" i="3"/>
  <c r="F60" i="3" a="1"/>
  <c r="B61" i="3"/>
  <c r="F9" i="3" a="1"/>
  <c r="F55" i="3" a="1"/>
  <c r="C98" i="3"/>
  <c r="C90" i="3"/>
  <c r="C82" i="3"/>
  <c r="C74" i="3"/>
  <c r="C66" i="3"/>
  <c r="C58" i="3"/>
  <c r="C50" i="3"/>
  <c r="C42" i="3"/>
  <c r="C34" i="3"/>
  <c r="C26" i="3"/>
  <c r="C18" i="3"/>
  <c r="C10" i="3"/>
  <c r="B89" i="3"/>
  <c r="F40" i="3" a="1"/>
  <c r="D22" i="3" a="1"/>
  <c r="F29" i="3" a="1"/>
  <c r="B40" i="3"/>
  <c r="F65" i="3" a="1"/>
  <c r="D45" i="3" a="1"/>
  <c r="F32" i="3" a="1"/>
  <c r="B101" i="3"/>
  <c r="D55" i="3" a="1"/>
  <c r="F35" i="3" a="1"/>
  <c r="D21" i="3" a="1"/>
  <c r="D94" i="3" a="1"/>
  <c r="B49" i="3"/>
  <c r="F20" i="3" a="1"/>
  <c r="B82" i="3"/>
  <c r="B59" i="3"/>
  <c r="F57" i="3" a="1"/>
  <c r="D88" i="3" a="1"/>
  <c r="D67" i="3" a="1"/>
  <c r="F47" i="3" a="1"/>
  <c r="F25" i="3" a="1"/>
  <c r="B84" i="3"/>
  <c r="F62" i="3" a="1"/>
  <c r="F76" i="3" a="1"/>
  <c r="D58" i="3" a="1"/>
  <c r="D65" i="3" a="1"/>
  <c r="D72" i="3" a="1"/>
  <c r="B93" i="3"/>
  <c r="D43" i="3" a="1"/>
  <c r="D63" i="3" a="1"/>
  <c r="C89" i="3"/>
  <c r="C73" i="3"/>
  <c r="C65" i="3"/>
  <c r="C49" i="3"/>
  <c r="C33" i="3"/>
  <c r="C25" i="3"/>
  <c r="C17" i="3"/>
  <c r="B57" i="3"/>
  <c r="F24" i="3" a="1"/>
  <c r="B80" i="3"/>
  <c r="F10" i="3" a="1"/>
  <c r="D78" i="3" a="1"/>
  <c r="F19" i="3" a="1"/>
  <c r="D14" i="3" a="1"/>
  <c r="B50" i="3"/>
  <c r="B41" i="3"/>
  <c r="F31" i="3" a="1"/>
  <c r="F6" i="3" a="1"/>
  <c r="F85" i="3" a="1"/>
  <c r="D36" i="3" a="1"/>
  <c r="B58" i="3"/>
  <c r="C97" i="3"/>
  <c r="C81" i="3"/>
  <c r="C57" i="3"/>
  <c r="C41" i="3"/>
  <c r="C9" i="3"/>
  <c r="D6" i="3" a="1"/>
  <c r="B36" i="3"/>
  <c r="B100" i="3"/>
  <c r="D39" i="3" a="1"/>
  <c r="D8" i="3" a="1"/>
  <c r="B17" i="3"/>
  <c r="D89" i="3" a="1"/>
  <c r="D51" i="3" a="1"/>
  <c r="B9" i="3"/>
  <c r="F86" i="3" a="1"/>
  <c r="D27" i="3" a="1"/>
  <c r="F89" i="3" a="1"/>
  <c r="F23" i="3" a="1"/>
  <c r="C96" i="3"/>
  <c r="C88" i="3"/>
  <c r="C80" i="3"/>
  <c r="C72" i="3"/>
  <c r="C64" i="3"/>
  <c r="C56" i="3"/>
  <c r="C48" i="3"/>
  <c r="C40" i="3"/>
  <c r="C32" i="3"/>
  <c r="C24" i="3"/>
  <c r="C16" i="3"/>
  <c r="C8" i="3"/>
  <c r="B25" i="3"/>
  <c r="B90" i="3"/>
  <c r="F93" i="3" a="1"/>
  <c r="B32" i="3"/>
  <c r="B83" i="3"/>
  <c r="F69" i="3" a="1"/>
  <c r="B19" i="3"/>
  <c r="D30" i="3" a="1"/>
  <c r="B53" i="3"/>
  <c r="D23" i="3" a="1"/>
  <c r="B98" i="3"/>
  <c r="F66" i="3" a="1"/>
  <c r="B64" i="3"/>
  <c r="B94" i="3"/>
  <c r="D98" i="3" a="1"/>
  <c r="F50" i="3" a="1"/>
  <c r="F41" i="3" a="1"/>
  <c r="F80" i="3" a="1"/>
  <c r="B77" i="3"/>
  <c r="D35" i="3" a="1"/>
  <c r="F15" i="3" a="1"/>
  <c r="B23" i="3"/>
  <c r="F64" i="3" a="1"/>
  <c r="B97" i="3"/>
  <c r="F44" i="3" a="1"/>
  <c r="D26" i="3" a="1"/>
  <c r="D41" i="3" a="1"/>
  <c r="D33" i="3" a="1"/>
  <c r="B29" i="3"/>
  <c r="B102" i="3"/>
  <c r="D93" i="3" a="1"/>
  <c r="D5" i="3" a="1"/>
  <c r="D31" i="3" a="1"/>
  <c r="B22" i="3"/>
  <c r="F98" i="3" a="1"/>
  <c r="B69" i="3"/>
  <c r="B10" i="3"/>
  <c r="D61" i="3" a="1"/>
  <c r="F38" i="3" a="1"/>
  <c r="D69" i="3" a="1"/>
  <c r="D50" i="3" a="1"/>
  <c r="B54" i="3"/>
  <c r="D48" i="3" a="1"/>
  <c r="D15" i="3" a="1"/>
  <c r="D92" i="3" a="1"/>
  <c r="F71" i="3" a="1"/>
  <c r="F27" i="3" a="1"/>
  <c r="F97" i="3" a="1"/>
  <c r="B47" i="3"/>
  <c r="B37" i="3"/>
  <c r="B70" i="3"/>
  <c r="B27" i="3"/>
  <c r="C103" i="3"/>
  <c r="C95" i="3"/>
  <c r="C87" i="3"/>
  <c r="C79" i="3"/>
  <c r="C71" i="3"/>
  <c r="C63" i="3"/>
  <c r="C55" i="3"/>
  <c r="C47" i="3"/>
  <c r="C39" i="3"/>
  <c r="C31" i="3"/>
  <c r="C23" i="3"/>
  <c r="C15" i="3"/>
  <c r="C7" i="3"/>
  <c r="F8" i="3" a="1"/>
  <c r="D102" i="3" a="1"/>
  <c r="F61" i="3" a="1"/>
  <c r="F21" i="3" a="1"/>
  <c r="F30" i="3" a="1"/>
  <c r="B48" i="3"/>
  <c r="D64" i="3" a="1"/>
  <c r="F34" i="3" a="1"/>
  <c r="B21" i="3"/>
  <c r="B74" i="3"/>
  <c r="B92" i="3"/>
  <c r="B72" i="3"/>
  <c r="D16" i="3" a="1"/>
  <c r="F100" i="3" a="1"/>
  <c r="D82" i="3" a="1"/>
  <c r="F81" i="3" a="1"/>
  <c r="D40" i="3" a="1"/>
  <c r="F16" i="3" a="1"/>
  <c r="B45" i="3"/>
  <c r="D19" i="3" a="1"/>
  <c r="B66" i="3"/>
  <c r="D52" i="3" a="1"/>
  <c r="B26" i="3"/>
  <c r="B65" i="3"/>
  <c r="F28" i="3" a="1"/>
  <c r="D10" i="3" a="1"/>
  <c r="B4" i="3"/>
  <c r="F78" i="3" a="1"/>
  <c r="D11" i="3" a="1"/>
  <c r="B103" i="3"/>
  <c r="B31" i="3"/>
  <c r="D79" i="3" a="1"/>
  <c r="B71" i="3"/>
  <c r="B16" i="3"/>
  <c r="D47" i="3" a="1"/>
  <c r="D84" i="3" a="1"/>
  <c r="B39" i="3"/>
  <c r="D37" i="3" a="1"/>
  <c r="F68" i="3" a="1"/>
  <c r="F26" i="3" a="1"/>
  <c r="F95" i="3" a="1"/>
  <c r="F77" i="3" a="1"/>
  <c r="D73" i="3" a="1"/>
  <c r="D91" i="3" a="1"/>
  <c r="B46" i="3"/>
  <c r="B76" i="3"/>
  <c r="F54" i="3" a="1"/>
  <c r="D53" i="3" a="1"/>
  <c r="F7" i="3" a="1"/>
  <c r="B14" i="3"/>
  <c r="AD37" i="3" a="1"/>
  <c r="AF14" i="3" a="1"/>
  <c r="AB78" i="3"/>
  <c r="AD94" i="3" a="1"/>
  <c r="AB88" i="3"/>
  <c r="AB90" i="3"/>
  <c r="AD98" i="3" a="1"/>
  <c r="AD20" i="3" a="1"/>
  <c r="AD52" i="3" a="1"/>
  <c r="AF51" i="3" a="1"/>
  <c r="AF11" i="3" a="1"/>
  <c r="AF88" i="3" a="1"/>
  <c r="AB42" i="3"/>
  <c r="AB14" i="3"/>
  <c r="AB13" i="3"/>
  <c r="AB7" i="3"/>
  <c r="AF100" i="3" a="1"/>
  <c r="AD46" i="3" a="1"/>
  <c r="AB66" i="3"/>
  <c r="AD86" i="3" a="1"/>
  <c r="AF95" i="3" a="1"/>
  <c r="AB89" i="3"/>
  <c r="AF25" i="3" a="1"/>
  <c r="AF74" i="3" a="1"/>
  <c r="AF96" i="3" a="1"/>
  <c r="AB4" i="3"/>
  <c r="AF63" i="3" a="1"/>
  <c r="AB20" i="3"/>
  <c r="AD29" i="3" a="1"/>
  <c r="AD90" i="3" a="1"/>
  <c r="AB70" i="3"/>
  <c r="AD81" i="3" a="1"/>
  <c r="AB43" i="3"/>
  <c r="AF57" i="3" a="1"/>
  <c r="AD7" i="3" a="1"/>
  <c r="AD71" i="3" a="1"/>
  <c r="AD18" i="3" a="1"/>
  <c r="AB6" i="3"/>
  <c r="AF83" i="3" a="1"/>
  <c r="AB102" i="3"/>
  <c r="AF55" i="3" a="1"/>
  <c r="AD100" i="3" a="1"/>
  <c r="AD83" i="3" a="1"/>
  <c r="AD66" i="3" a="1"/>
  <c r="AF30" i="3" a="1"/>
  <c r="AB55" i="3"/>
  <c r="AB12" i="3"/>
  <c r="AB23" i="3"/>
  <c r="AD11" i="3" a="1"/>
  <c r="AB60" i="3"/>
  <c r="AD85" i="3" a="1"/>
  <c r="AB15" i="3"/>
  <c r="AB101" i="3"/>
  <c r="AF82" i="3" a="1"/>
  <c r="AB41" i="3"/>
  <c r="AD69" i="3" a="1"/>
  <c r="AB56" i="3"/>
  <c r="AD91" i="3" a="1"/>
  <c r="AD59" i="3" a="1"/>
  <c r="AD23" i="3" a="1"/>
  <c r="AF37" i="3" a="1"/>
  <c r="AD70" i="3" a="1"/>
  <c r="AB40" i="3"/>
  <c r="AB44" i="3"/>
  <c r="AD97" i="3" a="1"/>
  <c r="AD16" i="3" a="1"/>
  <c r="AB46" i="3"/>
  <c r="AF69" i="3" a="1"/>
  <c r="AB61" i="3"/>
  <c r="AD63" i="3" a="1"/>
  <c r="AD45" i="3" a="1"/>
  <c r="AB27" i="3"/>
  <c r="AF62" i="3" a="1"/>
  <c r="AF28" i="3" a="1"/>
  <c r="AF27" i="3" a="1"/>
  <c r="AB17" i="3"/>
  <c r="AB97" i="3"/>
  <c r="AF7" i="3" a="1"/>
  <c r="AB24" i="3"/>
  <c r="AB94" i="3"/>
  <c r="AF6" i="3" a="1"/>
  <c r="AD79" i="3" a="1"/>
  <c r="AD64" i="3" a="1"/>
  <c r="AD42" i="3" a="1"/>
  <c r="AF103" i="3" a="1"/>
  <c r="AD21" i="3" a="1"/>
  <c r="AB77" i="3"/>
  <c r="AF65" i="3" a="1"/>
  <c r="AF90" i="3" a="1"/>
  <c r="AB96" i="3"/>
  <c r="AD4" i="3" a="1"/>
  <c r="AB53" i="3"/>
  <c r="AD43" i="3" a="1"/>
  <c r="AD47" i="3" a="1"/>
  <c r="AF4" i="3" a="1"/>
  <c r="AD48" i="3" a="1"/>
  <c r="AB45" i="3"/>
  <c r="AB98" i="3"/>
  <c r="AB26" i="3"/>
  <c r="AB84" i="3"/>
  <c r="AF49" i="3" a="1"/>
  <c r="AD65" i="3" a="1"/>
  <c r="AB103" i="3"/>
  <c r="AB33" i="3"/>
  <c r="AB31" i="3"/>
  <c r="AF42" i="3" a="1"/>
  <c r="AB49" i="3"/>
  <c r="AB9" i="3"/>
  <c r="AB28" i="3"/>
  <c r="AB87" i="3"/>
  <c r="AF9" i="3" a="1"/>
  <c r="AD15" i="3" a="1"/>
  <c r="AF98" i="3" a="1"/>
  <c r="AF8" i="3" a="1"/>
  <c r="AD88" i="3" a="1"/>
  <c r="AF78" i="3" a="1"/>
  <c r="AF46" i="3" a="1"/>
  <c r="AB79" i="3"/>
  <c r="AD30" i="3" a="1"/>
  <c r="AF99" i="3" a="1"/>
  <c r="AB71" i="3"/>
  <c r="AF58" i="3" a="1"/>
  <c r="AF79" i="3" a="1"/>
  <c r="AB34" i="3"/>
  <c r="AB59" i="3"/>
  <c r="AF64" i="3" a="1"/>
  <c r="AD17" i="3" a="1"/>
  <c r="AB51" i="3"/>
  <c r="AB21" i="3"/>
  <c r="AD80" i="3" a="1"/>
  <c r="AD84" i="3" a="1"/>
  <c r="AF32" i="3" a="1"/>
  <c r="AD60" i="3" a="1"/>
  <c r="AD5" i="3" a="1"/>
  <c r="AF24" i="3" a="1"/>
  <c r="AB5" i="3"/>
  <c r="AD68" i="3" a="1"/>
  <c r="AD89" i="3" a="1"/>
  <c r="AB25" i="3"/>
  <c r="AD73" i="3" a="1"/>
  <c r="AF80" i="3" a="1"/>
  <c r="AD103" i="3" a="1"/>
  <c r="AB30" i="3"/>
  <c r="AF59" i="3" a="1"/>
  <c r="AD9" i="3" a="1"/>
  <c r="AB11" i="3"/>
  <c r="AD57" i="3" a="1"/>
  <c r="AB73" i="3"/>
  <c r="AD82" i="3" a="1"/>
  <c r="AD102" i="3" a="1"/>
  <c r="AF94" i="3" a="1"/>
  <c r="AF86" i="3" a="1"/>
  <c r="AB76" i="3"/>
  <c r="AF53" i="3" a="1"/>
  <c r="AB19" i="3"/>
  <c r="AF87" i="3" a="1"/>
  <c r="AD34" i="3" a="1"/>
  <c r="AB32" i="3"/>
  <c r="AB95" i="3"/>
  <c r="AD12" i="3" a="1"/>
  <c r="AF91" i="3" a="1"/>
  <c r="AF41" i="3" a="1"/>
  <c r="AF22" i="3" a="1"/>
  <c r="AF66" i="3" a="1"/>
  <c r="AD14" i="3" a="1"/>
  <c r="AD33" i="3" a="1"/>
  <c r="AF5" i="3" a="1"/>
  <c r="AB65" i="3"/>
  <c r="AB63" i="3"/>
  <c r="AB82" i="3"/>
  <c r="AF54" i="3" a="1"/>
  <c r="AD75" i="3" a="1"/>
  <c r="AF92" i="3" a="1"/>
  <c r="AD19" i="3" a="1"/>
  <c r="AB75" i="3"/>
  <c r="AF18" i="3" a="1"/>
  <c r="AB54" i="3"/>
  <c r="AD24" i="3" a="1"/>
  <c r="AF45" i="3" a="1"/>
  <c r="AD13" i="3" a="1"/>
  <c r="AF21" i="3" a="1"/>
  <c r="AD6" i="3" a="1"/>
  <c r="AD8" i="3" a="1"/>
  <c r="AD39" i="3" a="1"/>
  <c r="AF76" i="3" a="1"/>
  <c r="AB74" i="3"/>
  <c r="AD62" i="3" a="1"/>
  <c r="AF12" i="3" a="1"/>
  <c r="AB100" i="3"/>
  <c r="AF19" i="3" a="1"/>
  <c r="AD72" i="3" a="1"/>
  <c r="AF35" i="3" a="1"/>
  <c r="AF17" i="3" a="1"/>
  <c r="AD32" i="3" a="1"/>
  <c r="AD101" i="3" a="1"/>
  <c r="AD95" i="3" a="1"/>
  <c r="AD99" i="3" a="1"/>
  <c r="AF52" i="3" a="1"/>
  <c r="AB52" i="3"/>
  <c r="AF84" i="3" a="1"/>
  <c r="AB67" i="3"/>
  <c r="AB80" i="3"/>
  <c r="AF13" i="3" a="1"/>
  <c r="AF85" i="3" a="1"/>
  <c r="AD44" i="3" a="1"/>
  <c r="AD38" i="3" a="1"/>
  <c r="AF102" i="3" a="1"/>
  <c r="AB86" i="3"/>
  <c r="AD78" i="3" a="1"/>
  <c r="AB91" i="3"/>
  <c r="AB50" i="3"/>
  <c r="AD41" i="3" a="1"/>
  <c r="AB68" i="3"/>
  <c r="AD93" i="3" a="1"/>
  <c r="AD25" i="3" a="1"/>
  <c r="AF33" i="3" a="1"/>
  <c r="AD31" i="3" a="1"/>
  <c r="AF16" i="3" a="1"/>
  <c r="AF50" i="3" a="1"/>
  <c r="AD55" i="3" a="1"/>
  <c r="AB57" i="3"/>
  <c r="AB64" i="3"/>
  <c r="AF36" i="3" a="1"/>
  <c r="AB22" i="3"/>
  <c r="AB81" i="3"/>
  <c r="AF93" i="3" a="1"/>
  <c r="AF77" i="3" a="1"/>
  <c r="AD77" i="3" a="1"/>
  <c r="AB48" i="3"/>
  <c r="AD10" i="3" a="1"/>
  <c r="AB83" i="3"/>
  <c r="AD26" i="3" a="1"/>
  <c r="AF72" i="3" a="1"/>
  <c r="AD58" i="3" a="1"/>
  <c r="AF31" i="3" a="1"/>
  <c r="AF39" i="3" a="1"/>
  <c r="AF29" i="3" a="1"/>
  <c r="AD28" i="3" a="1"/>
  <c r="AD96" i="3" a="1"/>
  <c r="AB36" i="3"/>
  <c r="AB47" i="3"/>
  <c r="AF101" i="3" a="1"/>
  <c r="AB37" i="3"/>
  <c r="AD49" i="3" a="1"/>
  <c r="AD67" i="3" a="1"/>
  <c r="AD54" i="3" a="1"/>
  <c r="AB39" i="3"/>
  <c r="AD87" i="3" a="1"/>
  <c r="AF71" i="3" a="1"/>
  <c r="AD40" i="3" a="1"/>
  <c r="AF47" i="3" a="1"/>
  <c r="AF70" i="3" a="1"/>
  <c r="AB29" i="3"/>
  <c r="AF67" i="3" a="1"/>
  <c r="AD27" i="3" a="1"/>
  <c r="AF56" i="3" a="1"/>
  <c r="AF15" i="3" a="1"/>
  <c r="AF44" i="3" a="1"/>
  <c r="AB99" i="3"/>
  <c r="AF81" i="3" a="1"/>
  <c r="AF75" i="3" a="1"/>
  <c r="AF23" i="3" a="1"/>
  <c r="AF48" i="3" a="1"/>
  <c r="AD35" i="3" a="1"/>
  <c r="AF26" i="3" a="1"/>
  <c r="AB18" i="3"/>
  <c r="AD56" i="3" a="1"/>
  <c r="AF61" i="3" a="1"/>
  <c r="AD36" i="3" a="1"/>
  <c r="AB58" i="3"/>
  <c r="AB62" i="3"/>
  <c r="AF89" i="3" a="1"/>
  <c r="AF68" i="3" a="1"/>
  <c r="AB38" i="3"/>
  <c r="AD51" i="3" a="1"/>
  <c r="AF10" i="3" a="1"/>
  <c r="AD74" i="3" a="1"/>
  <c r="AF60" i="3" a="1"/>
  <c r="AF43" i="3" a="1"/>
  <c r="AF34" i="3" a="1"/>
  <c r="AF38" i="3" a="1"/>
  <c r="AD61" i="3" a="1"/>
  <c r="AF97" i="3" a="1"/>
  <c r="AB10" i="3"/>
  <c r="AF73" i="3" a="1"/>
  <c r="AB8" i="3"/>
  <c r="AB72" i="3"/>
  <c r="AD50" i="3" a="1"/>
  <c r="AF20" i="3" a="1"/>
  <c r="AB69" i="3"/>
  <c r="AD22" i="3" a="1"/>
  <c r="AF40" i="3" a="1"/>
  <c r="AD53" i="3" a="1"/>
  <c r="AB93" i="3"/>
  <c r="AD92" i="3" a="1"/>
  <c r="AD76" i="3" a="1"/>
  <c r="AB85" i="3"/>
  <c r="AB16" i="3"/>
  <c r="AB92" i="3"/>
  <c r="AB35" i="3"/>
  <c r="C17" i="5" l="1"/>
  <c r="E25" i="5"/>
  <c r="AF42" i="3"/>
  <c r="AD49" i="3"/>
  <c r="AF18" i="3"/>
  <c r="AD85" i="3"/>
  <c r="AD31" i="3"/>
  <c r="AD25" i="3"/>
  <c r="AF91" i="3"/>
  <c r="AD18" i="3"/>
  <c r="AF69" i="3"/>
  <c r="AF58" i="3"/>
  <c r="AD77" i="3"/>
  <c r="AF68" i="3"/>
  <c r="AD93" i="3"/>
  <c r="AD12" i="3"/>
  <c r="AD71" i="3"/>
  <c r="AF72" i="3"/>
  <c r="AD7" i="3"/>
  <c r="AF20" i="3"/>
  <c r="AF77" i="3"/>
  <c r="AF22" i="3"/>
  <c r="AD41" i="3"/>
  <c r="AD65" i="3"/>
  <c r="AF57" i="3"/>
  <c r="AD69" i="3"/>
  <c r="AD34" i="3"/>
  <c r="AF49" i="3"/>
  <c r="AF97" i="3"/>
  <c r="AF87" i="3"/>
  <c r="AD81" i="3"/>
  <c r="AD24" i="3"/>
  <c r="AD61" i="3"/>
  <c r="AF89" i="3"/>
  <c r="AD78" i="3"/>
  <c r="AD26" i="3"/>
  <c r="AF93" i="3"/>
  <c r="AF83" i="3"/>
  <c r="AF53" i="3"/>
  <c r="AD90" i="3"/>
  <c r="AD16" i="3"/>
  <c r="AD50" i="3"/>
  <c r="AD11" i="3"/>
  <c r="AF41" i="3"/>
  <c r="AF102" i="3"/>
  <c r="AD29" i="3"/>
  <c r="AD14" i="3"/>
  <c r="AF33" i="3"/>
  <c r="AD38" i="3"/>
  <c r="AF86" i="3"/>
  <c r="AD48" i="3"/>
  <c r="AF101" i="3"/>
  <c r="AF99" i="3"/>
  <c r="AD44" i="3"/>
  <c r="AF94" i="3"/>
  <c r="AF4" i="3"/>
  <c r="AF63" i="3"/>
  <c r="AD97" i="3"/>
  <c r="AD19" i="3"/>
  <c r="AF38" i="3"/>
  <c r="AF85" i="3"/>
  <c r="AD102" i="3"/>
  <c r="AD47" i="3"/>
  <c r="AD36" i="3"/>
  <c r="AF13" i="3"/>
  <c r="AD82" i="3"/>
  <c r="AD43" i="3"/>
  <c r="AF96" i="3"/>
  <c r="AF61" i="3"/>
  <c r="AF74" i="3"/>
  <c r="AF82" i="3"/>
  <c r="AF34" i="3"/>
  <c r="AD56" i="3"/>
  <c r="AD57" i="3"/>
  <c r="AD4" i="3"/>
  <c r="AF25" i="3"/>
  <c r="AD76" i="3"/>
  <c r="AF92" i="3"/>
  <c r="AF84" i="3"/>
  <c r="AD30" i="3"/>
  <c r="AF26" i="3"/>
  <c r="AD9" i="3"/>
  <c r="AF90" i="3"/>
  <c r="AF95" i="3"/>
  <c r="AF43" i="3"/>
  <c r="AD35" i="3"/>
  <c r="AF52" i="3"/>
  <c r="AF59" i="3"/>
  <c r="AF65" i="3"/>
  <c r="AD86" i="3"/>
  <c r="AD92" i="3"/>
  <c r="AD75" i="3"/>
  <c r="AF36" i="3"/>
  <c r="AF48" i="3"/>
  <c r="AD99" i="3"/>
  <c r="AD96" i="3"/>
  <c r="AD10" i="3"/>
  <c r="AF23" i="3"/>
  <c r="AD95" i="3"/>
  <c r="AD103" i="3"/>
  <c r="AD21" i="3"/>
  <c r="AD46" i="3"/>
  <c r="AF79" i="3"/>
  <c r="AF66" i="3"/>
  <c r="AF75" i="3"/>
  <c r="AD101" i="3"/>
  <c r="AF80" i="3"/>
  <c r="AF103" i="3"/>
  <c r="AF100" i="3"/>
  <c r="AF60" i="3"/>
  <c r="AF81" i="3"/>
  <c r="AD32" i="3"/>
  <c r="AD73" i="3"/>
  <c r="AD42" i="3"/>
  <c r="AD70" i="3"/>
  <c r="AF46" i="3"/>
  <c r="AF17" i="3"/>
  <c r="AD64" i="3"/>
  <c r="AF54" i="3"/>
  <c r="AF44" i="3"/>
  <c r="AF35" i="3"/>
  <c r="AD89" i="3"/>
  <c r="AD79" i="3"/>
  <c r="AD28" i="3"/>
  <c r="AF78" i="3"/>
  <c r="AF30" i="3"/>
  <c r="AF15" i="3"/>
  <c r="AD72" i="3"/>
  <c r="AD68" i="3"/>
  <c r="AF6" i="3"/>
  <c r="AF37" i="3"/>
  <c r="AD74" i="3"/>
  <c r="AF56" i="3"/>
  <c r="AF19" i="3"/>
  <c r="AF88" i="3"/>
  <c r="AD53" i="3"/>
  <c r="AD88" i="3"/>
  <c r="AD66" i="3"/>
  <c r="AD27" i="3"/>
  <c r="AF24" i="3"/>
  <c r="AF11" i="3"/>
  <c r="AF29" i="3"/>
  <c r="AF67" i="3"/>
  <c r="AF12" i="3"/>
  <c r="AD5" i="3"/>
  <c r="AF7" i="3"/>
  <c r="AF51" i="3"/>
  <c r="AD23" i="3"/>
  <c r="AF73" i="3"/>
  <c r="AF10" i="3"/>
  <c r="AD62" i="3"/>
  <c r="AD60" i="3"/>
  <c r="AD52" i="3"/>
  <c r="AF40" i="3"/>
  <c r="AD83" i="3"/>
  <c r="AF70" i="3"/>
  <c r="AF32" i="3"/>
  <c r="AD20" i="3"/>
  <c r="AF39" i="3"/>
  <c r="AD55" i="3"/>
  <c r="AF47" i="3"/>
  <c r="AF76" i="3"/>
  <c r="AD84" i="3"/>
  <c r="AF27" i="3"/>
  <c r="AD98" i="3"/>
  <c r="AD59" i="3"/>
  <c r="AF8" i="3"/>
  <c r="AD51" i="3"/>
  <c r="AD40" i="3"/>
  <c r="AD39" i="3"/>
  <c r="AD80" i="3"/>
  <c r="AF28" i="3"/>
  <c r="AF31" i="3"/>
  <c r="AD100" i="3"/>
  <c r="AF71" i="3"/>
  <c r="AD8" i="3"/>
  <c r="AF62" i="3"/>
  <c r="AD22" i="3"/>
  <c r="AF98" i="3"/>
  <c r="F103" i="3"/>
  <c r="AD87" i="3"/>
  <c r="AD6" i="3"/>
  <c r="AD94" i="3"/>
  <c r="AD91" i="3"/>
  <c r="AF5" i="3"/>
  <c r="AF50" i="3"/>
  <c r="AF21" i="3"/>
  <c r="AD17" i="3"/>
  <c r="AD45" i="3"/>
  <c r="AD58" i="3"/>
  <c r="AD15" i="3"/>
  <c r="AF55" i="3"/>
  <c r="AD54" i="3"/>
  <c r="AD13" i="3"/>
  <c r="AF64" i="3"/>
  <c r="AD63" i="3"/>
  <c r="AF14" i="3"/>
  <c r="AD33" i="3"/>
  <c r="AD67" i="3"/>
  <c r="AF45" i="3"/>
  <c r="AD37" i="3"/>
  <c r="AF9" i="3"/>
  <c r="AF16" i="3"/>
  <c r="F14" i="3"/>
  <c r="D53" i="3"/>
  <c r="F57" i="3"/>
  <c r="D64" i="3"/>
  <c r="F66" i="3"/>
  <c r="D80" i="3"/>
  <c r="F82" i="3"/>
  <c r="D96" i="3"/>
  <c r="F98" i="3"/>
  <c r="F6" i="3"/>
  <c r="D17" i="3"/>
  <c r="D28" i="3"/>
  <c r="F30" i="3"/>
  <c r="D44" i="3"/>
  <c r="F46" i="3"/>
  <c r="D69" i="3"/>
  <c r="F73" i="3"/>
  <c r="D85" i="3"/>
  <c r="F89" i="3"/>
  <c r="D101" i="3"/>
  <c r="D37" i="3"/>
  <c r="D60" i="3"/>
  <c r="F78" i="3"/>
  <c r="D5" i="3"/>
  <c r="F17" i="3"/>
  <c r="D8" i="3"/>
  <c r="D33" i="3"/>
  <c r="D49" i="3"/>
  <c r="F62" i="3"/>
  <c r="F26" i="3"/>
  <c r="F42" i="3"/>
  <c r="D56" i="3"/>
  <c r="F85" i="3"/>
  <c r="F33" i="3"/>
  <c r="D45" i="3"/>
  <c r="F49" i="3"/>
  <c r="F58" i="3"/>
  <c r="D72" i="3"/>
  <c r="F74" i="3"/>
  <c r="D88" i="3"/>
  <c r="F90" i="3"/>
  <c r="D21" i="3"/>
  <c r="D76" i="3"/>
  <c r="F94" i="3"/>
  <c r="D13" i="3"/>
  <c r="D40" i="3"/>
  <c r="F69" i="3"/>
  <c r="D81" i="3"/>
  <c r="D77" i="3"/>
  <c r="F97" i="3"/>
  <c r="F102" i="3"/>
  <c r="F41" i="3"/>
  <c r="F10" i="3"/>
  <c r="F21" i="3"/>
  <c r="D92" i="3"/>
  <c r="D24" i="3"/>
  <c r="D9" i="3"/>
  <c r="F13" i="3"/>
  <c r="D20" i="3"/>
  <c r="F38" i="3"/>
  <c r="D52" i="3"/>
  <c r="F65" i="3"/>
  <c r="D93" i="3"/>
  <c r="F9" i="3"/>
  <c r="D16" i="3"/>
  <c r="D25" i="3"/>
  <c r="F29" i="3"/>
  <c r="D41" i="3"/>
  <c r="F45" i="3"/>
  <c r="D57" i="3"/>
  <c r="D68" i="3"/>
  <c r="F70" i="3"/>
  <c r="D84" i="3"/>
  <c r="F86" i="3"/>
  <c r="D100" i="3"/>
  <c r="D12" i="3"/>
  <c r="F25" i="3"/>
  <c r="F37" i="3"/>
  <c r="F53" i="3"/>
  <c r="D65" i="3"/>
  <c r="D97" i="3"/>
  <c r="D29" i="3"/>
  <c r="F5" i="3"/>
  <c r="F22" i="3"/>
  <c r="D36" i="3"/>
  <c r="F54" i="3"/>
  <c r="D61" i="3"/>
  <c r="F81" i="3"/>
  <c r="F18" i="3"/>
  <c r="D32" i="3"/>
  <c r="F34" i="3"/>
  <c r="D48" i="3"/>
  <c r="F50" i="3"/>
  <c r="F61" i="3"/>
  <c r="D73" i="3"/>
  <c r="F77" i="3"/>
  <c r="D89" i="3"/>
  <c r="F93" i="3"/>
  <c r="D6" i="3"/>
  <c r="F7" i="3"/>
  <c r="D10" i="3"/>
  <c r="F11" i="3"/>
  <c r="D14" i="3"/>
  <c r="F15" i="3"/>
  <c r="D18" i="3"/>
  <c r="F19" i="3"/>
  <c r="D22" i="3"/>
  <c r="F23" i="3"/>
  <c r="D26" i="3"/>
  <c r="F27" i="3"/>
  <c r="D30" i="3"/>
  <c r="F31" i="3"/>
  <c r="D34" i="3"/>
  <c r="F35" i="3"/>
  <c r="D38" i="3"/>
  <c r="F39" i="3"/>
  <c r="D42" i="3"/>
  <c r="F43" i="3"/>
  <c r="D46" i="3"/>
  <c r="F47" i="3"/>
  <c r="D50" i="3"/>
  <c r="F51" i="3"/>
  <c r="D54" i="3"/>
  <c r="F55" i="3"/>
  <c r="D58" i="3"/>
  <c r="F59" i="3"/>
  <c r="D62" i="3"/>
  <c r="F63" i="3"/>
  <c r="D66" i="3"/>
  <c r="F67" i="3"/>
  <c r="D70" i="3"/>
  <c r="F71" i="3"/>
  <c r="D74" i="3"/>
  <c r="F75" i="3"/>
  <c r="D78" i="3"/>
  <c r="F79" i="3"/>
  <c r="D82" i="3"/>
  <c r="F83" i="3"/>
  <c r="D86" i="3"/>
  <c r="F87" i="3"/>
  <c r="D90" i="3"/>
  <c r="F91" i="3"/>
  <c r="D94" i="3"/>
  <c r="F95" i="3"/>
  <c r="D98" i="3"/>
  <c r="F99" i="3"/>
  <c r="D102" i="3"/>
  <c r="F101" i="3"/>
  <c r="D7" i="3"/>
  <c r="F12" i="3"/>
  <c r="F16" i="3"/>
  <c r="D19" i="3"/>
  <c r="F20" i="3"/>
  <c r="D23" i="3"/>
  <c r="F24" i="3"/>
  <c r="D27" i="3"/>
  <c r="F28" i="3"/>
  <c r="D31" i="3"/>
  <c r="F32" i="3"/>
  <c r="D35" i="3"/>
  <c r="F36" i="3"/>
  <c r="D39" i="3"/>
  <c r="F40" i="3"/>
  <c r="D43" i="3"/>
  <c r="F44" i="3"/>
  <c r="D47" i="3"/>
  <c r="F48" i="3"/>
  <c r="D51" i="3"/>
  <c r="F52" i="3"/>
  <c r="D55" i="3"/>
  <c r="F56" i="3"/>
  <c r="D59" i="3"/>
  <c r="F60" i="3"/>
  <c r="D63" i="3"/>
  <c r="F64" i="3"/>
  <c r="D67" i="3"/>
  <c r="F68" i="3"/>
  <c r="D71" i="3"/>
  <c r="F72" i="3"/>
  <c r="D75" i="3"/>
  <c r="F76" i="3"/>
  <c r="D79" i="3"/>
  <c r="F80" i="3"/>
  <c r="D83" i="3"/>
  <c r="F84" i="3"/>
  <c r="D87" i="3"/>
  <c r="F88" i="3"/>
  <c r="D91" i="3"/>
  <c r="F92" i="3"/>
  <c r="D95" i="3"/>
  <c r="F96" i="3"/>
  <c r="D99" i="3"/>
  <c r="F100" i="3"/>
  <c r="D103" i="3"/>
  <c r="F8" i="3"/>
  <c r="D11" i="3"/>
  <c r="D15" i="3"/>
  <c r="F4" i="3"/>
  <c r="D4" i="3"/>
  <c r="B1" i="3"/>
  <c r="B2" i="3"/>
  <c r="D18" i="5" l="1"/>
  <c r="H59" i="5"/>
  <c r="H53" i="5"/>
  <c r="K60" i="5"/>
  <c r="J56" i="5"/>
  <c r="H55" i="5"/>
  <c r="J55" i="5"/>
  <c r="I61" i="5"/>
  <c r="C59" i="5"/>
  <c r="F57" i="5"/>
  <c r="G54" i="5"/>
  <c r="E53" i="5"/>
  <c r="D56" i="5"/>
  <c r="I54" i="5"/>
  <c r="H54" i="5"/>
  <c r="K56" i="5"/>
  <c r="I56" i="5"/>
  <c r="J53" i="5"/>
  <c r="C55" i="5"/>
  <c r="H61" i="5"/>
  <c r="D55" i="5"/>
  <c r="K55" i="5"/>
  <c r="F58" i="5"/>
  <c r="E60" i="5"/>
  <c r="C60" i="5"/>
  <c r="D57" i="5"/>
  <c r="G56" i="5"/>
  <c r="J61" i="5"/>
  <c r="J54" i="5"/>
  <c r="D59" i="5"/>
  <c r="F60" i="5"/>
  <c r="K54" i="5"/>
  <c r="C56" i="5"/>
  <c r="AE5" i="5"/>
  <c r="K59" i="5"/>
  <c r="H58" i="5"/>
  <c r="F53" i="5"/>
  <c r="H60" i="5"/>
  <c r="K58" i="5"/>
  <c r="F55" i="5"/>
  <c r="I55" i="5"/>
  <c r="H56" i="5"/>
  <c r="B41" i="5"/>
  <c r="J59" i="5"/>
  <c r="F54" i="5"/>
  <c r="F56" i="5"/>
  <c r="G53" i="5"/>
  <c r="E59" i="5"/>
  <c r="G61" i="5"/>
  <c r="J60" i="5"/>
  <c r="C61" i="5"/>
  <c r="G59" i="5"/>
  <c r="K61" i="5"/>
  <c r="K53" i="5"/>
  <c r="F59" i="5"/>
  <c r="C54" i="5"/>
  <c r="E58" i="5"/>
  <c r="I53" i="5"/>
  <c r="G55" i="5"/>
  <c r="D54" i="5"/>
  <c r="D17" i="5"/>
  <c r="C57" i="5"/>
  <c r="E56" i="5"/>
  <c r="D58" i="5"/>
  <c r="G60" i="5"/>
  <c r="C58" i="5"/>
  <c r="I58" i="5"/>
  <c r="J57" i="5"/>
  <c r="G57" i="5"/>
  <c r="E55" i="5"/>
  <c r="I60" i="5"/>
  <c r="J58" i="5"/>
  <c r="D53" i="5"/>
  <c r="I57" i="5"/>
  <c r="E57" i="5"/>
  <c r="B28" i="5"/>
  <c r="D60" i="5"/>
  <c r="G58" i="5"/>
  <c r="C53" i="5"/>
  <c r="K57" i="5"/>
  <c r="E54" i="5"/>
  <c r="E61" i="5"/>
  <c r="I59" i="5"/>
  <c r="F61" i="5"/>
  <c r="C18" i="5"/>
  <c r="G17" i="5" s="1"/>
  <c r="H57" i="5"/>
  <c r="D61" i="5"/>
  <c r="AA4" i="3" a="1"/>
  <c r="A4" i="3" a="1"/>
  <c r="L8" i="3" s="1"/>
  <c r="E8" i="3" s="1"/>
  <c r="H17" i="5" l="1"/>
  <c r="I17" i="5"/>
  <c r="J17" i="5" s="1"/>
  <c r="L102" i="3"/>
  <c r="E102" i="3" s="1"/>
  <c r="L80" i="3"/>
  <c r="E80" i="3" s="1"/>
  <c r="L58" i="3"/>
  <c r="E58" i="3" s="1"/>
  <c r="L26" i="3"/>
  <c r="E26" i="3" s="1"/>
  <c r="L89" i="3"/>
  <c r="E89" i="3" s="1"/>
  <c r="L57" i="3"/>
  <c r="E57" i="3" s="1"/>
  <c r="L66" i="3"/>
  <c r="E66" i="3" s="1"/>
  <c r="L75" i="3"/>
  <c r="E75" i="3" s="1"/>
  <c r="L41" i="3"/>
  <c r="E41" i="3" s="1"/>
  <c r="A4" i="3"/>
  <c r="L12" i="3"/>
  <c r="E12" i="3" s="1"/>
  <c r="L20" i="3"/>
  <c r="E20" i="3" s="1"/>
  <c r="L28" i="3"/>
  <c r="E28" i="3" s="1"/>
  <c r="L36" i="3"/>
  <c r="E36" i="3" s="1"/>
  <c r="L44" i="3"/>
  <c r="E44" i="3" s="1"/>
  <c r="L52" i="3"/>
  <c r="E52" i="3" s="1"/>
  <c r="L60" i="3"/>
  <c r="E60" i="3" s="1"/>
  <c r="L68" i="3"/>
  <c r="E68" i="3" s="1"/>
  <c r="L76" i="3"/>
  <c r="E76" i="3" s="1"/>
  <c r="L84" i="3"/>
  <c r="E84" i="3" s="1"/>
  <c r="L92" i="3"/>
  <c r="E92" i="3" s="1"/>
  <c r="L100" i="3"/>
  <c r="E100" i="3" s="1"/>
  <c r="L5" i="3"/>
  <c r="E5" i="3" s="1"/>
  <c r="L21" i="3"/>
  <c r="E21" i="3" s="1"/>
  <c r="L29" i="3"/>
  <c r="E29" i="3" s="1"/>
  <c r="L37" i="3"/>
  <c r="E37" i="3" s="1"/>
  <c r="L45" i="3"/>
  <c r="E45" i="3" s="1"/>
  <c r="L53" i="3"/>
  <c r="E53" i="3" s="1"/>
  <c r="L61" i="3"/>
  <c r="E61" i="3" s="1"/>
  <c r="L69" i="3"/>
  <c r="E69" i="3" s="1"/>
  <c r="L77" i="3"/>
  <c r="E77" i="3" s="1"/>
  <c r="L85" i="3"/>
  <c r="E85" i="3" s="1"/>
  <c r="L93" i="3"/>
  <c r="E93" i="3" s="1"/>
  <c r="L101" i="3"/>
  <c r="E101" i="3" s="1"/>
  <c r="L13" i="3"/>
  <c r="E13" i="3" s="1"/>
  <c r="L10" i="3"/>
  <c r="E10" i="3" s="1"/>
  <c r="L87" i="3"/>
  <c r="E87" i="3" s="1"/>
  <c r="L65" i="3"/>
  <c r="E65" i="3" s="1"/>
  <c r="L43" i="3"/>
  <c r="E43" i="3" s="1"/>
  <c r="L23" i="3"/>
  <c r="E23" i="3" s="1"/>
  <c r="L96" i="3"/>
  <c r="E96" i="3" s="1"/>
  <c r="L74" i="3"/>
  <c r="E74" i="3" s="1"/>
  <c r="L54" i="3"/>
  <c r="E54" i="3" s="1"/>
  <c r="L32" i="3"/>
  <c r="E32" i="3" s="1"/>
  <c r="L9" i="3"/>
  <c r="E9" i="3" s="1"/>
  <c r="L95" i="3"/>
  <c r="E95" i="3" s="1"/>
  <c r="L73" i="3"/>
  <c r="E73" i="3" s="1"/>
  <c r="L31" i="3"/>
  <c r="E31" i="3" s="1"/>
  <c r="L94" i="3"/>
  <c r="E94" i="3" s="1"/>
  <c r="L82" i="3"/>
  <c r="E82" i="3" s="1"/>
  <c r="L72" i="3"/>
  <c r="E72" i="3" s="1"/>
  <c r="L62" i="3"/>
  <c r="E62" i="3" s="1"/>
  <c r="L50" i="3"/>
  <c r="E50" i="3" s="1"/>
  <c r="L40" i="3"/>
  <c r="E40" i="3" s="1"/>
  <c r="L30" i="3"/>
  <c r="E30" i="3" s="1"/>
  <c r="L18" i="3"/>
  <c r="E18" i="3" s="1"/>
  <c r="L7" i="3"/>
  <c r="E7" i="3" s="1"/>
  <c r="L90" i="3"/>
  <c r="E90" i="3" s="1"/>
  <c r="L70" i="3"/>
  <c r="E70" i="3" s="1"/>
  <c r="L48" i="3"/>
  <c r="E48" i="3" s="1"/>
  <c r="L38" i="3"/>
  <c r="E38" i="3" s="1"/>
  <c r="L16" i="3"/>
  <c r="E16" i="3" s="1"/>
  <c r="L99" i="3"/>
  <c r="E99" i="3" s="1"/>
  <c r="L79" i="3"/>
  <c r="E79" i="3" s="1"/>
  <c r="L67" i="3"/>
  <c r="E67" i="3" s="1"/>
  <c r="L47" i="3"/>
  <c r="E47" i="3" s="1"/>
  <c r="L35" i="3"/>
  <c r="E35" i="3" s="1"/>
  <c r="L25" i="3"/>
  <c r="E25" i="3" s="1"/>
  <c r="L15" i="3"/>
  <c r="E15" i="3" s="1"/>
  <c r="L98" i="3"/>
  <c r="E98" i="3" s="1"/>
  <c r="L88" i="3"/>
  <c r="E88" i="3" s="1"/>
  <c r="L78" i="3"/>
  <c r="E78" i="3" s="1"/>
  <c r="L56" i="3"/>
  <c r="E56" i="3" s="1"/>
  <c r="L46" i="3"/>
  <c r="E46" i="3" s="1"/>
  <c r="L34" i="3"/>
  <c r="E34" i="3" s="1"/>
  <c r="L24" i="3"/>
  <c r="E24" i="3" s="1"/>
  <c r="L14" i="3"/>
  <c r="E14" i="3" s="1"/>
  <c r="L97" i="3"/>
  <c r="E97" i="3" s="1"/>
  <c r="L55" i="3"/>
  <c r="E55" i="3" s="1"/>
  <c r="L33" i="3"/>
  <c r="E33" i="3" s="1"/>
  <c r="L11" i="3"/>
  <c r="E11" i="3" s="1"/>
  <c r="L86" i="3"/>
  <c r="E86" i="3" s="1"/>
  <c r="L64" i="3"/>
  <c r="E64" i="3" s="1"/>
  <c r="L42" i="3"/>
  <c r="E42" i="3" s="1"/>
  <c r="L22" i="3"/>
  <c r="E22" i="3" s="1"/>
  <c r="L83" i="3"/>
  <c r="E83" i="3" s="1"/>
  <c r="L63" i="3"/>
  <c r="E63" i="3" s="1"/>
  <c r="L51" i="3"/>
  <c r="E51" i="3" s="1"/>
  <c r="L19" i="3"/>
  <c r="E19" i="3" s="1"/>
  <c r="L103" i="3"/>
  <c r="E103" i="3" s="1"/>
  <c r="L91" i="3"/>
  <c r="E91" i="3" s="1"/>
  <c r="L81" i="3"/>
  <c r="E81" i="3" s="1"/>
  <c r="L71" i="3"/>
  <c r="E71" i="3" s="1"/>
  <c r="L59" i="3"/>
  <c r="E59" i="3" s="1"/>
  <c r="L49" i="3"/>
  <c r="E49" i="3" s="1"/>
  <c r="L39" i="3"/>
  <c r="E39" i="3" s="1"/>
  <c r="L27" i="3"/>
  <c r="E27" i="3" s="1"/>
  <c r="L17" i="3"/>
  <c r="E17" i="3" s="1"/>
  <c r="L6" i="3"/>
  <c r="E6" i="3" s="1"/>
  <c r="AL5" i="3"/>
  <c r="AE5" i="3" s="1"/>
  <c r="AL13" i="3"/>
  <c r="AE13" i="3" s="1"/>
  <c r="AL21" i="3"/>
  <c r="AE21" i="3" s="1"/>
  <c r="AL29" i="3"/>
  <c r="AE29" i="3" s="1"/>
  <c r="AL37" i="3"/>
  <c r="AE37" i="3" s="1"/>
  <c r="AL45" i="3"/>
  <c r="AE45" i="3" s="1"/>
  <c r="AL53" i="3"/>
  <c r="AE53" i="3" s="1"/>
  <c r="AL61" i="3"/>
  <c r="AE61" i="3" s="1"/>
  <c r="AL69" i="3"/>
  <c r="AE69" i="3" s="1"/>
  <c r="AL77" i="3"/>
  <c r="AE77" i="3" s="1"/>
  <c r="AL85" i="3"/>
  <c r="AE85" i="3" s="1"/>
  <c r="AL93" i="3"/>
  <c r="AE93" i="3" s="1"/>
  <c r="AL101" i="3"/>
  <c r="AE101" i="3" s="1"/>
  <c r="AL6" i="3"/>
  <c r="AE6" i="3" s="1"/>
  <c r="AL22" i="3"/>
  <c r="AE22" i="3" s="1"/>
  <c r="AL38" i="3"/>
  <c r="AE38" i="3" s="1"/>
  <c r="AL46" i="3"/>
  <c r="AE46" i="3" s="1"/>
  <c r="AL62" i="3"/>
  <c r="AE62" i="3" s="1"/>
  <c r="AL70" i="3"/>
  <c r="AE70" i="3" s="1"/>
  <c r="AL86" i="3"/>
  <c r="AE86" i="3" s="1"/>
  <c r="AL102" i="3"/>
  <c r="AE102" i="3" s="1"/>
  <c r="AL7" i="3"/>
  <c r="AE7" i="3" s="1"/>
  <c r="AL23" i="3"/>
  <c r="AE23" i="3" s="1"/>
  <c r="AL39" i="3"/>
  <c r="AE39" i="3" s="1"/>
  <c r="AL47" i="3"/>
  <c r="AE47" i="3" s="1"/>
  <c r="AL63" i="3"/>
  <c r="AE63" i="3" s="1"/>
  <c r="AL79" i="3"/>
  <c r="AE79" i="3" s="1"/>
  <c r="AL95" i="3"/>
  <c r="AE95" i="3" s="1"/>
  <c r="AL8" i="3"/>
  <c r="AE8" i="3" s="1"/>
  <c r="AL32" i="3"/>
  <c r="AE32" i="3" s="1"/>
  <c r="AL48" i="3"/>
  <c r="AE48" i="3" s="1"/>
  <c r="AL64" i="3"/>
  <c r="AE64" i="3" s="1"/>
  <c r="AL88" i="3"/>
  <c r="AE88" i="3" s="1"/>
  <c r="AL17" i="3"/>
  <c r="AE17" i="3" s="1"/>
  <c r="AL33" i="3"/>
  <c r="AE33" i="3" s="1"/>
  <c r="AL49" i="3"/>
  <c r="AE49" i="3" s="1"/>
  <c r="AL65" i="3"/>
  <c r="AE65" i="3" s="1"/>
  <c r="AL73" i="3"/>
  <c r="AE73" i="3" s="1"/>
  <c r="AL89" i="3"/>
  <c r="AE89" i="3" s="1"/>
  <c r="AL10" i="3"/>
  <c r="AE10" i="3" s="1"/>
  <c r="AL26" i="3"/>
  <c r="AE26" i="3" s="1"/>
  <c r="AL42" i="3"/>
  <c r="AE42" i="3" s="1"/>
  <c r="AL58" i="3"/>
  <c r="AE58" i="3" s="1"/>
  <c r="AL74" i="3"/>
  <c r="AE74" i="3" s="1"/>
  <c r="AL90" i="3"/>
  <c r="AE90" i="3" s="1"/>
  <c r="AL11" i="3"/>
  <c r="AE11" i="3" s="1"/>
  <c r="AL27" i="3"/>
  <c r="AE27" i="3" s="1"/>
  <c r="AL43" i="3"/>
  <c r="AE43" i="3" s="1"/>
  <c r="AL59" i="3"/>
  <c r="AE59" i="3" s="1"/>
  <c r="AL75" i="3"/>
  <c r="AE75" i="3" s="1"/>
  <c r="AL91" i="3"/>
  <c r="AE91" i="3" s="1"/>
  <c r="AL36" i="3"/>
  <c r="AE36" i="3" s="1"/>
  <c r="AL68" i="3"/>
  <c r="AE68" i="3" s="1"/>
  <c r="AL84" i="3"/>
  <c r="AE84" i="3" s="1"/>
  <c r="AL100" i="3"/>
  <c r="AE100" i="3" s="1"/>
  <c r="AL14" i="3"/>
  <c r="AE14" i="3" s="1"/>
  <c r="AL30" i="3"/>
  <c r="AE30" i="3" s="1"/>
  <c r="AL54" i="3"/>
  <c r="AE54" i="3" s="1"/>
  <c r="AL78" i="3"/>
  <c r="AE78" i="3" s="1"/>
  <c r="AL94" i="3"/>
  <c r="AE94" i="3" s="1"/>
  <c r="AL15" i="3"/>
  <c r="AE15" i="3" s="1"/>
  <c r="AL31" i="3"/>
  <c r="AE31" i="3" s="1"/>
  <c r="AL55" i="3"/>
  <c r="AE55" i="3" s="1"/>
  <c r="AL71" i="3"/>
  <c r="AE71" i="3" s="1"/>
  <c r="AL87" i="3"/>
  <c r="AE87" i="3" s="1"/>
  <c r="AL103" i="3"/>
  <c r="AE103" i="3" s="1"/>
  <c r="AL16" i="3"/>
  <c r="AE16" i="3" s="1"/>
  <c r="AL24" i="3"/>
  <c r="AE24" i="3" s="1"/>
  <c r="AL40" i="3"/>
  <c r="AE40" i="3" s="1"/>
  <c r="AL56" i="3"/>
  <c r="AE56" i="3" s="1"/>
  <c r="AL72" i="3"/>
  <c r="AE72" i="3" s="1"/>
  <c r="AL96" i="3"/>
  <c r="AE96" i="3" s="1"/>
  <c r="AL9" i="3"/>
  <c r="AE9" i="3" s="1"/>
  <c r="AL25" i="3"/>
  <c r="AE25" i="3" s="1"/>
  <c r="AL41" i="3"/>
  <c r="AE41" i="3" s="1"/>
  <c r="AL57" i="3"/>
  <c r="AE57" i="3" s="1"/>
  <c r="AL81" i="3"/>
  <c r="AE81" i="3" s="1"/>
  <c r="AL97" i="3"/>
  <c r="AE97" i="3" s="1"/>
  <c r="AL18" i="3"/>
  <c r="AE18" i="3" s="1"/>
  <c r="AL34" i="3"/>
  <c r="AE34" i="3" s="1"/>
  <c r="AL50" i="3"/>
  <c r="AE50" i="3" s="1"/>
  <c r="AL66" i="3"/>
  <c r="AE66" i="3" s="1"/>
  <c r="AL82" i="3"/>
  <c r="AE82" i="3" s="1"/>
  <c r="AL98" i="3"/>
  <c r="AE98" i="3" s="1"/>
  <c r="AL19" i="3"/>
  <c r="AE19" i="3" s="1"/>
  <c r="AL35" i="3"/>
  <c r="AE35" i="3" s="1"/>
  <c r="AL51" i="3"/>
  <c r="AE51" i="3" s="1"/>
  <c r="AL67" i="3"/>
  <c r="AE67" i="3" s="1"/>
  <c r="AL83" i="3"/>
  <c r="AE83" i="3" s="1"/>
  <c r="AL28" i="3"/>
  <c r="AE28" i="3" s="1"/>
  <c r="AL52" i="3"/>
  <c r="AE52" i="3" s="1"/>
  <c r="AL76" i="3"/>
  <c r="AE76" i="3" s="1"/>
  <c r="AL92" i="3"/>
  <c r="AE92" i="3" s="1"/>
  <c r="AL99" i="3"/>
  <c r="AE99" i="3" s="1"/>
  <c r="AL80" i="3"/>
  <c r="AE80" i="3" s="1"/>
  <c r="AL12" i="3"/>
  <c r="AE12" i="3" s="1"/>
  <c r="AL20" i="3"/>
  <c r="AE20" i="3" s="1"/>
  <c r="AL44" i="3"/>
  <c r="AE44" i="3" s="1"/>
  <c r="AL60" i="3"/>
  <c r="AE60" i="3" s="1"/>
  <c r="AA4" i="3"/>
  <c r="L4" i="3" l="1"/>
  <c r="E4" i="3" s="1"/>
  <c r="AL4" i="3"/>
  <c r="AE4" i="3" s="1"/>
  <c r="C28" i="1" a="1"/>
  <c r="C28" i="1" s="1"/>
  <c r="B29" i="1" l="1" a="1"/>
  <c r="B29" i="1" s="1"/>
  <c r="B42" i="1" s="1" a="1"/>
  <c r="B42" i="1" s="1"/>
  <c r="D22" i="1"/>
  <c r="E21" i="1" a="1"/>
  <c r="G22" i="1" a="1"/>
  <c r="D21" i="1"/>
  <c r="C22" i="1"/>
  <c r="G21" i="1" a="1"/>
  <c r="E22" i="1" a="1"/>
  <c r="C21" i="1"/>
  <c r="G22" i="1" l="1"/>
  <c r="G21" i="1"/>
  <c r="E22" i="1"/>
  <c r="E21" i="1"/>
  <c r="C41" i="1" a="1"/>
  <c r="C41" i="1" s="1"/>
  <c r="C11" i="1" l="1"/>
  <c r="Y32" i="2"/>
  <c r="Z32" i="2" s="1"/>
  <c r="Z34" i="2" s="1"/>
  <c r="W32" i="2"/>
  <c r="V32" i="2"/>
  <c r="V31" i="2"/>
  <c r="W31" i="2" s="1"/>
  <c r="V30" i="2"/>
  <c r="W30" i="2" s="1"/>
  <c r="V29" i="2"/>
  <c r="W29" i="2" s="1"/>
  <c r="W34" i="2" s="1"/>
  <c r="U27" i="2"/>
  <c r="F21" i="1" l="1"/>
  <c r="F22" i="1"/>
  <c r="E24" i="1"/>
  <c r="C12" i="1"/>
  <c r="E25" i="1" s="1"/>
  <c r="D25" i="1"/>
  <c r="D24" i="1"/>
  <c r="C13" i="1"/>
  <c r="K40" i="2" l="1"/>
  <c r="L40" i="2"/>
  <c r="L36" i="2"/>
  <c r="L35" i="2"/>
  <c r="K39" i="2"/>
  <c r="L39" i="2" s="1"/>
  <c r="K38" i="2"/>
  <c r="K37" i="2"/>
  <c r="L37" i="2" s="1"/>
  <c r="K36" i="2"/>
  <c r="K35" i="2"/>
  <c r="K34" i="2"/>
  <c r="L34" i="2" s="1"/>
  <c r="J40" i="2"/>
  <c r="J39" i="2"/>
  <c r="J38" i="2"/>
  <c r="J37" i="2"/>
  <c r="J36" i="2"/>
  <c r="J35" i="2"/>
  <c r="J34" i="2"/>
  <c r="K32" i="2"/>
  <c r="L33" i="2" s="1"/>
  <c r="K33" i="2"/>
  <c r="K31" i="2"/>
  <c r="J33" i="2"/>
  <c r="J32" i="2"/>
  <c r="J43" i="2" s="1"/>
  <c r="L38" i="2" l="1"/>
  <c r="J44" i="2"/>
  <c r="L32" i="2"/>
  <c r="L44" i="2" s="1"/>
  <c r="K13" i="2"/>
  <c r="K12" i="2"/>
  <c r="K15" i="2" s="1"/>
  <c r="E17" i="1"/>
  <c r="E18" i="1"/>
  <c r="L43" i="2" l="1"/>
  <c r="K24" i="2"/>
  <c r="K22" i="2"/>
  <c r="K16" i="2"/>
  <c r="K17" i="2"/>
  <c r="K18" i="2"/>
  <c r="K19" i="2"/>
  <c r="K20" i="2"/>
  <c r="K21" i="2"/>
  <c r="K23" i="2"/>
  <c r="C14" i="1" l="1"/>
  <c r="C17" i="1" s="1"/>
  <c r="R5" i="1" l="1"/>
  <c r="D61" i="1"/>
  <c r="E60" i="1"/>
  <c r="F59" i="1"/>
  <c r="G58" i="1"/>
  <c r="H57" i="1"/>
  <c r="I56" i="1"/>
  <c r="J55" i="1"/>
  <c r="K54" i="1"/>
  <c r="C54" i="1"/>
  <c r="D53" i="1"/>
  <c r="K61" i="1"/>
  <c r="C61" i="1"/>
  <c r="D60" i="1"/>
  <c r="E59" i="1"/>
  <c r="F58" i="1"/>
  <c r="G57" i="1"/>
  <c r="H56" i="1"/>
  <c r="I55" i="1"/>
  <c r="J54" i="1"/>
  <c r="K53" i="1"/>
  <c r="J61" i="1"/>
  <c r="K60" i="1"/>
  <c r="C60" i="1"/>
  <c r="D59" i="1"/>
  <c r="E58" i="1"/>
  <c r="F57" i="1"/>
  <c r="G56" i="1"/>
  <c r="H55" i="1"/>
  <c r="I54" i="1"/>
  <c r="J53" i="1"/>
  <c r="D56" i="1"/>
  <c r="F54" i="1"/>
  <c r="G60" i="1"/>
  <c r="I58" i="1"/>
  <c r="K56" i="1"/>
  <c r="D55" i="1"/>
  <c r="F53" i="1"/>
  <c r="F60" i="1"/>
  <c r="H58" i="1"/>
  <c r="J56" i="1"/>
  <c r="C55" i="1"/>
  <c r="E53" i="1"/>
  <c r="I61" i="1"/>
  <c r="J60" i="1"/>
  <c r="K59" i="1"/>
  <c r="C59" i="1"/>
  <c r="D58" i="1"/>
  <c r="E57" i="1"/>
  <c r="F56" i="1"/>
  <c r="G55" i="1"/>
  <c r="H54" i="1"/>
  <c r="I53" i="1"/>
  <c r="H61" i="1"/>
  <c r="I60" i="1"/>
  <c r="J59" i="1"/>
  <c r="K58" i="1"/>
  <c r="C58" i="1"/>
  <c r="D57" i="1"/>
  <c r="E56" i="1"/>
  <c r="F55" i="1"/>
  <c r="G54" i="1"/>
  <c r="H53" i="1"/>
  <c r="G61" i="1"/>
  <c r="H60" i="1"/>
  <c r="I59" i="1"/>
  <c r="J58" i="1"/>
  <c r="K57" i="1"/>
  <c r="C57" i="1"/>
  <c r="E55" i="1"/>
  <c r="G53" i="1"/>
  <c r="F61" i="1"/>
  <c r="H59" i="1"/>
  <c r="J57" i="1"/>
  <c r="C56" i="1"/>
  <c r="E54" i="1"/>
  <c r="E61" i="1"/>
  <c r="G59" i="1"/>
  <c r="I57" i="1"/>
  <c r="K55" i="1"/>
  <c r="D54" i="1"/>
  <c r="B41" i="1"/>
  <c r="C53" i="1"/>
  <c r="B28" i="1"/>
  <c r="C18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<sst xmlns="http://schemas.openxmlformats.org/spreadsheetml/2006/main" count="127" uniqueCount="82">
  <si>
    <t>Black-Scholes Option Pricing</t>
  </si>
  <si>
    <t>r</t>
  </si>
  <si>
    <t>S</t>
  </si>
  <si>
    <t>K</t>
  </si>
  <si>
    <t>T</t>
  </si>
  <si>
    <t>σ</t>
  </si>
  <si>
    <t>Interest rate</t>
  </si>
  <si>
    <t>Underlying price</t>
  </si>
  <si>
    <t>Strike price</t>
  </si>
  <si>
    <t>Time to maturity</t>
  </si>
  <si>
    <t>d1</t>
  </si>
  <si>
    <t>d2</t>
  </si>
  <si>
    <t>Call price</t>
  </si>
  <si>
    <t>Put price</t>
  </si>
  <si>
    <t>nd1</t>
  </si>
  <si>
    <t>nd2</t>
  </si>
  <si>
    <t xml:space="preserve"> </t>
  </si>
  <si>
    <t>Price</t>
  </si>
  <si>
    <t>Returns</t>
  </si>
  <si>
    <t>RAPPORT DÉTAILLÉ</t>
  </si>
  <si>
    <t>Statistiques de la régression</t>
  </si>
  <si>
    <t>Coefficient de détermination multiple</t>
  </si>
  <si>
    <t>Coefficient de détermination R^2</t>
  </si>
  <si>
    <t>Erreur-type</t>
  </si>
  <si>
    <t>Observations</t>
  </si>
  <si>
    <t>ANALYSE DE VARIANCE</t>
  </si>
  <si>
    <t>Régression</t>
  </si>
  <si>
    <t>Résidus</t>
  </si>
  <si>
    <t>Total</t>
  </si>
  <si>
    <t>Constante</t>
  </si>
  <si>
    <t>Degré de liberté</t>
  </si>
  <si>
    <t>Somme des carrés</t>
  </si>
  <si>
    <t>Moyenne des carrés</t>
  </si>
  <si>
    <t>F</t>
  </si>
  <si>
    <t>Valeur critique de F</t>
  </si>
  <si>
    <t>Coefficients</t>
  </si>
  <si>
    <t>Statistique t</t>
  </si>
  <si>
    <t>Probabilité</t>
  </si>
  <si>
    <t>Limite inférieure pour seuil de confiance = 95%</t>
  </si>
  <si>
    <t>Limite supérieure pour seuil de confiance = 95%</t>
  </si>
  <si>
    <t>Limite inférieure pour seuil de confiance =  95,0%</t>
  </si>
  <si>
    <t>Limite supérieure pour seuil de confiance =  95,0%</t>
  </si>
  <si>
    <t>Variable X 1</t>
  </si>
  <si>
    <t>Volatility</t>
  </si>
  <si>
    <t>Strike</t>
  </si>
  <si>
    <t>Implied vol</t>
  </si>
  <si>
    <t>Spot</t>
  </si>
  <si>
    <t>Call</t>
  </si>
  <si>
    <t>Put</t>
  </si>
  <si>
    <t>C</t>
  </si>
  <si>
    <t>P</t>
  </si>
  <si>
    <t>Delta</t>
  </si>
  <si>
    <t>Gamma</t>
  </si>
  <si>
    <t>Theta</t>
  </si>
  <si>
    <t>Rho</t>
  </si>
  <si>
    <t>Vega</t>
  </si>
  <si>
    <t>Maturity</t>
  </si>
  <si>
    <t>Gamma 2</t>
  </si>
  <si>
    <t>Theta 2</t>
  </si>
  <si>
    <t>Vega 2</t>
  </si>
  <si>
    <t>Rho 2</t>
  </si>
  <si>
    <t>usd</t>
  </si>
  <si>
    <t>jpy</t>
  </si>
  <si>
    <t>Forward</t>
  </si>
  <si>
    <t>rCCY1</t>
  </si>
  <si>
    <t>rCCY2</t>
  </si>
  <si>
    <t>Fwd</t>
  </si>
  <si>
    <t>CCY2 pips</t>
  </si>
  <si>
    <t>CCY1 %</t>
  </si>
  <si>
    <t>x</t>
  </si>
  <si>
    <t>y</t>
  </si>
  <si>
    <t>y*2</t>
  </si>
  <si>
    <t>x*1</t>
  </si>
  <si>
    <t>difference finie</t>
  </si>
  <si>
    <t>Banan</t>
  </si>
  <si>
    <t>apple</t>
  </si>
  <si>
    <t>pear</t>
  </si>
  <si>
    <t>Breakeven</t>
  </si>
  <si>
    <t>Straddle</t>
  </si>
  <si>
    <t>NVDUSD</t>
  </si>
  <si>
    <t>bps</t>
  </si>
  <si>
    <t>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</si>
</sst>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 * #,##0.00_)_ ;_ * \(#,##0.00\)_ ;_ * &quot;-&quot;??_)_ ;_ @_ "/>
    <numFmt numFmtId="165" formatCode="_ * #,##0.00_)\ _$_ ;_ * \(#,##0.00\)\ _$_ ;_ * &quot;-&quot;??_)\ _$_ ;_ @_ "/>
    <numFmt numFmtId="166" formatCode="0.0000"/>
    <numFmt numFmtId="167" formatCode="0.000"/>
    <numFmt numFmtId="168" formatCode="0.0%"/>
    <numFmt numFmtId="175" formatCode="0.0&quot;d&quot;"/>
  </numFmts>
  <fonts count="10" x14ac:knownFonts="1"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5" tint="-0.249977111117893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theme="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06">
    <xf numFmtId="0" fontId="0" fillId="0" borderId="0" xfId="0"/>
    <xf numFmtId="0" fontId="0" fillId="2" borderId="2" xfId="0" applyFill="1" applyBorder="1"/>
    <xf numFmtId="0" fontId="0" fillId="2" borderId="6" xfId="0" applyFill="1" applyBorder="1"/>
    <xf numFmtId="0" fontId="0" fillId="3" borderId="9" xfId="0" applyFill="1" applyBorder="1"/>
    <xf numFmtId="2" fontId="0" fillId="3" borderId="9" xfId="0" applyNumberFormat="1" applyFill="1" applyBorder="1"/>
    <xf numFmtId="0" fontId="1" fillId="5" borderId="3" xfId="0" applyFont="1" applyFill="1" applyBorder="1"/>
    <xf numFmtId="0" fontId="1" fillId="5" borderId="7" xfId="0" applyFont="1" applyFill="1" applyBorder="1"/>
    <xf numFmtId="0" fontId="0" fillId="2" borderId="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0" fontId="0" fillId="0" borderId="0" xfId="0" applyNumberFormat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21" xfId="0" applyBorder="1"/>
    <xf numFmtId="10" fontId="0" fillId="0" borderId="21" xfId="0" applyNumberFormat="1" applyBorder="1"/>
    <xf numFmtId="0" fontId="0" fillId="0" borderId="5" xfId="0" applyBorder="1"/>
    <xf numFmtId="10" fontId="0" fillId="0" borderId="7" xfId="0" applyNumberFormat="1" applyBorder="1"/>
    <xf numFmtId="9" fontId="0" fillId="0" borderId="0" xfId="1" applyFont="1"/>
    <xf numFmtId="0" fontId="0" fillId="0" borderId="6" xfId="0" applyBorder="1"/>
    <xf numFmtId="0" fontId="4" fillId="0" borderId="22" xfId="0" applyFont="1" applyBorder="1" applyAlignment="1">
      <alignment horizontal="center"/>
    </xf>
    <xf numFmtId="0" fontId="4" fillId="0" borderId="22" xfId="0" applyFont="1" applyBorder="1" applyAlignment="1">
      <alignment horizontal="centerContinuous"/>
    </xf>
    <xf numFmtId="10" fontId="0" fillId="0" borderId="0" xfId="1" applyNumberFormat="1" applyFont="1"/>
    <xf numFmtId="164" fontId="0" fillId="0" borderId="0" xfId="2" applyFont="1" applyBorder="1"/>
    <xf numFmtId="164" fontId="0" fillId="0" borderId="6" xfId="2" applyFont="1" applyBorder="1"/>
    <xf numFmtId="0" fontId="1" fillId="0" borderId="1" xfId="0" applyFont="1" applyBorder="1"/>
    <xf numFmtId="0" fontId="0" fillId="6" borderId="2" xfId="0" applyFill="1" applyBorder="1"/>
    <xf numFmtId="0" fontId="0" fillId="6" borderId="3" xfId="0" applyFill="1" applyBorder="1"/>
    <xf numFmtId="9" fontId="0" fillId="6" borderId="4" xfId="1" applyFont="1" applyFill="1" applyBorder="1"/>
    <xf numFmtId="9" fontId="0" fillId="6" borderId="5" xfId="1" applyFont="1" applyFill="1" applyBorder="1"/>
    <xf numFmtId="164" fontId="0" fillId="0" borderId="0" xfId="0" applyNumberFormat="1"/>
    <xf numFmtId="164" fontId="0" fillId="0" borderId="21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165" fontId="0" fillId="0" borderId="0" xfId="0" applyNumberFormat="1"/>
    <xf numFmtId="2" fontId="0" fillId="3" borderId="8" xfId="0" applyNumberFormat="1" applyFill="1" applyBorder="1"/>
    <xf numFmtId="0" fontId="0" fillId="2" borderId="0" xfId="0" applyFill="1"/>
    <xf numFmtId="0" fontId="0" fillId="2" borderId="21" xfId="0" applyFill="1" applyBorder="1"/>
    <xf numFmtId="10" fontId="0" fillId="3" borderId="24" xfId="0" applyNumberFormat="1" applyFill="1" applyBorder="1"/>
    <xf numFmtId="10" fontId="0" fillId="3" borderId="23" xfId="0" applyNumberFormat="1" applyFill="1" applyBorder="1"/>
    <xf numFmtId="0" fontId="1" fillId="0" borderId="0" xfId="0" applyFont="1"/>
    <xf numFmtId="0" fontId="0" fillId="2" borderId="1" xfId="0" applyFill="1" applyBorder="1"/>
    <xf numFmtId="0" fontId="5" fillId="6" borderId="2" xfId="0" applyFont="1" applyFill="1" applyBorder="1"/>
    <xf numFmtId="0" fontId="5" fillId="6" borderId="3" xfId="0" applyFont="1" applyFill="1" applyBorder="1"/>
    <xf numFmtId="0" fontId="5" fillId="6" borderId="4" xfId="0" applyFont="1" applyFill="1" applyBorder="1"/>
    <xf numFmtId="0" fontId="5" fillId="6" borderId="5" xfId="0" applyFont="1" applyFill="1" applyBorder="1"/>
    <xf numFmtId="166" fontId="0" fillId="2" borderId="0" xfId="0" applyNumberFormat="1" applyFill="1"/>
    <xf numFmtId="166" fontId="0" fillId="2" borderId="21" xfId="0" applyNumberFormat="1" applyFill="1" applyBorder="1"/>
    <xf numFmtId="166" fontId="0" fillId="2" borderId="6" xfId="0" applyNumberFormat="1" applyFill="1" applyBorder="1"/>
    <xf numFmtId="166" fontId="0" fillId="2" borderId="7" xfId="0" applyNumberFormat="1" applyFill="1" applyBorder="1"/>
    <xf numFmtId="166" fontId="0" fillId="0" borderId="0" xfId="0" applyNumberFormat="1"/>
    <xf numFmtId="0" fontId="0" fillId="2" borderId="4" xfId="0" applyFill="1" applyBorder="1"/>
    <xf numFmtId="0" fontId="0" fillId="2" borderId="5" xfId="0" applyFill="1" applyBorder="1"/>
    <xf numFmtId="10" fontId="0" fillId="7" borderId="21" xfId="0" applyNumberFormat="1" applyFill="1" applyBorder="1"/>
    <xf numFmtId="2" fontId="0" fillId="7" borderId="3" xfId="0" applyNumberFormat="1" applyFill="1" applyBorder="1"/>
    <xf numFmtId="10" fontId="0" fillId="7" borderId="7" xfId="0" applyNumberFormat="1" applyFill="1" applyBorder="1"/>
    <xf numFmtId="0" fontId="0" fillId="7" borderId="21" xfId="0" applyFill="1" applyBorder="1"/>
    <xf numFmtId="167" fontId="0" fillId="2" borderId="0" xfId="0" applyNumberFormat="1" applyFill="1"/>
    <xf numFmtId="167" fontId="0" fillId="2" borderId="21" xfId="0" applyNumberFormat="1" applyFill="1" applyBorder="1"/>
    <xf numFmtId="167" fontId="0" fillId="2" borderId="6" xfId="0" applyNumberFormat="1" applyFill="1" applyBorder="1"/>
    <xf numFmtId="167" fontId="0" fillId="2" borderId="7" xfId="0" applyNumberFormat="1" applyFill="1" applyBorder="1"/>
    <xf numFmtId="0" fontId="0" fillId="6" borderId="1" xfId="0" applyFill="1" applyBorder="1"/>
    <xf numFmtId="0" fontId="0" fillId="8" borderId="4" xfId="0" applyFill="1" applyBorder="1"/>
    <xf numFmtId="0" fontId="0" fillId="8" borderId="5" xfId="0" applyFill="1" applyBorder="1"/>
    <xf numFmtId="0" fontId="7" fillId="6" borderId="2" xfId="0" applyFont="1" applyFill="1" applyBorder="1"/>
    <xf numFmtId="0" fontId="8" fillId="6" borderId="2" xfId="0" applyFont="1" applyFill="1" applyBorder="1"/>
    <xf numFmtId="0" fontId="9" fillId="6" borderId="2" xfId="0" applyFont="1" applyFill="1" applyBorder="1"/>
    <xf numFmtId="0" fontId="6" fillId="6" borderId="2" xfId="0" applyFont="1" applyFill="1" applyBorder="1"/>
    <xf numFmtId="0" fontId="0" fillId="7" borderId="21" xfId="0" applyFill="1" applyBorder="1" applyAlignment="1">
      <alignment vertical="center" textRotation="90"/>
    </xf>
    <xf numFmtId="0" fontId="0" fillId="7" borderId="6" xfId="0" applyFill="1" applyBorder="1" applyAlignment="1">
      <alignment horizontal="center" vertical="center"/>
    </xf>
    <xf numFmtId="0" fontId="3" fillId="5" borderId="18" xfId="0" applyFont="1" applyFill="1" applyBorder="1" applyAlignment="1">
      <alignment horizontal="center"/>
    </xf>
    <xf numFmtId="0" fontId="3" fillId="5" borderId="19" xfId="0" applyFont="1" applyFill="1" applyBorder="1" applyAlignment="1">
      <alignment horizontal="center"/>
    </xf>
    <xf numFmtId="0" fontId="3" fillId="5" borderId="20" xfId="0" applyFont="1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5" fillId="6" borderId="6" xfId="0" applyFont="1" applyFill="1" applyBorder="1" applyAlignment="1">
      <alignment horizontal="center"/>
    </xf>
    <xf numFmtId="0" fontId="5" fillId="6" borderId="7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/>
    </xf>
    <xf numFmtId="0" fontId="5" fillId="6" borderId="3" xfId="0" applyFont="1" applyFill="1" applyBorder="1" applyAlignment="1">
      <alignment horizontal="center"/>
    </xf>
    <xf numFmtId="168" fontId="0" fillId="0" borderId="0" xfId="0" applyNumberFormat="1"/>
    <xf numFmtId="0" fontId="0" fillId="2" borderId="0" xfId="0" applyFill="1" applyBorder="1"/>
    <xf numFmtId="0" fontId="0" fillId="4" borderId="27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0" fontId="0" fillId="0" borderId="0" xfId="0" applyAlignment="1">
      <alignment horizontal="center"/>
    </xf>
    <xf numFmtId="166" fontId="0" fillId="7" borderId="4" xfId="0" applyNumberFormat="1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0" xfId="0" applyFill="1" applyBorder="1"/>
    <xf numFmtId="0" fontId="0" fillId="7" borderId="5" xfId="0" applyFill="1" applyBorder="1" applyAlignment="1">
      <alignment horizontal="center" vertical="center"/>
    </xf>
    <xf numFmtId="0" fontId="0" fillId="7" borderId="6" xfId="0" applyFill="1" applyBorder="1"/>
    <xf numFmtId="10" fontId="0" fillId="7" borderId="24" xfId="0" applyNumberFormat="1" applyFill="1" applyBorder="1"/>
    <xf numFmtId="10" fontId="0" fillId="7" borderId="25" xfId="0" applyNumberFormat="1" applyFill="1" applyBorder="1"/>
    <xf numFmtId="0" fontId="0" fillId="2" borderId="7" xfId="0" applyFill="1" applyBorder="1"/>
    <xf numFmtId="2" fontId="0" fillId="3" borderId="26" xfId="0" applyNumberFormat="1" applyFill="1" applyBorder="1" applyAlignment="1"/>
    <xf numFmtId="0" fontId="5" fillId="0" borderId="19" xfId="0" applyFont="1" applyBorder="1" applyAlignment="1">
      <alignment horizontal="center"/>
    </xf>
    <xf numFmtId="164" fontId="0" fillId="0" borderId="0" xfId="2" applyFont="1"/>
    <xf numFmtId="0" fontId="5" fillId="0" borderId="0" xfId="0" applyFont="1"/>
    <xf numFmtId="175" fontId="0" fillId="3" borderId="9" xfId="0" applyNumberFormat="1" applyFill="1" applyBorder="1"/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Option value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Option value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FXOBS!$AD$6:$AD$55</c:f>
              <c:numCache>
                <c:formatCode>General</c:formatCode>
                <c:ptCount val="50"/>
                <c:pt idx="0">
                  <c:v>130</c:v>
                </c:pt>
                <c:pt idx="1">
                  <c:v>131</c:v>
                </c:pt>
                <c:pt idx="2">
                  <c:v>132</c:v>
                </c:pt>
                <c:pt idx="3">
                  <c:v>133</c:v>
                </c:pt>
                <c:pt idx="4">
                  <c:v>134</c:v>
                </c:pt>
                <c:pt idx="5">
                  <c:v>135</c:v>
                </c:pt>
                <c:pt idx="6">
                  <c:v>136</c:v>
                </c:pt>
                <c:pt idx="7">
                  <c:v>137</c:v>
                </c:pt>
                <c:pt idx="8">
                  <c:v>138</c:v>
                </c:pt>
                <c:pt idx="9">
                  <c:v>139</c:v>
                </c:pt>
                <c:pt idx="10">
                  <c:v>140</c:v>
                </c:pt>
                <c:pt idx="11">
                  <c:v>141</c:v>
                </c:pt>
                <c:pt idx="12">
                  <c:v>142</c:v>
                </c:pt>
                <c:pt idx="13">
                  <c:v>143</c:v>
                </c:pt>
                <c:pt idx="14">
                  <c:v>144</c:v>
                </c:pt>
                <c:pt idx="15">
                  <c:v>145</c:v>
                </c:pt>
                <c:pt idx="16">
                  <c:v>146</c:v>
                </c:pt>
                <c:pt idx="17">
                  <c:v>147</c:v>
                </c:pt>
                <c:pt idx="18">
                  <c:v>148</c:v>
                </c:pt>
                <c:pt idx="19">
                  <c:v>149</c:v>
                </c:pt>
                <c:pt idx="20">
                  <c:v>150</c:v>
                </c:pt>
                <c:pt idx="21">
                  <c:v>151</c:v>
                </c:pt>
                <c:pt idx="22">
                  <c:v>152</c:v>
                </c:pt>
                <c:pt idx="23">
                  <c:v>153</c:v>
                </c:pt>
                <c:pt idx="24">
                  <c:v>154</c:v>
                </c:pt>
                <c:pt idx="25">
                  <c:v>155</c:v>
                </c:pt>
                <c:pt idx="26">
                  <c:v>156</c:v>
                </c:pt>
                <c:pt idx="27">
                  <c:v>157</c:v>
                </c:pt>
                <c:pt idx="28">
                  <c:v>158</c:v>
                </c:pt>
                <c:pt idx="29">
                  <c:v>159</c:v>
                </c:pt>
                <c:pt idx="30">
                  <c:v>160</c:v>
                </c:pt>
                <c:pt idx="31">
                  <c:v>161</c:v>
                </c:pt>
                <c:pt idx="32">
                  <c:v>162</c:v>
                </c:pt>
                <c:pt idx="33">
                  <c:v>163</c:v>
                </c:pt>
                <c:pt idx="34">
                  <c:v>164</c:v>
                </c:pt>
                <c:pt idx="35">
                  <c:v>165</c:v>
                </c:pt>
                <c:pt idx="36">
                  <c:v>166</c:v>
                </c:pt>
                <c:pt idx="37">
                  <c:v>167</c:v>
                </c:pt>
                <c:pt idx="38">
                  <c:v>168</c:v>
                </c:pt>
                <c:pt idx="39">
                  <c:v>169</c:v>
                </c:pt>
                <c:pt idx="40">
                  <c:v>170</c:v>
                </c:pt>
                <c:pt idx="41">
                  <c:v>171</c:v>
                </c:pt>
                <c:pt idx="42">
                  <c:v>172</c:v>
                </c:pt>
                <c:pt idx="43">
                  <c:v>173</c:v>
                </c:pt>
                <c:pt idx="44">
                  <c:v>174</c:v>
                </c:pt>
                <c:pt idx="45">
                  <c:v>175</c:v>
                </c:pt>
                <c:pt idx="46">
                  <c:v>176</c:v>
                </c:pt>
                <c:pt idx="47">
                  <c:v>177</c:v>
                </c:pt>
                <c:pt idx="48">
                  <c:v>178</c:v>
                </c:pt>
                <c:pt idx="49">
                  <c:v>179</c:v>
                </c:pt>
              </c:numCache>
            </c:numRef>
          </c:cat>
          <c:val>
            <c:numRef>
              <c:f>FXOBS!$AE$6:$AE$55</c:f>
              <c:numCache>
                <c:formatCode>General</c:formatCode>
                <c:ptCount val="50"/>
                <c:pt idx="0">
                  <c:v>1.0335908942281607E-56</c:v>
                </c:pt>
                <c:pt idx="1">
                  <c:v>4.153091264799215E-51</c:v>
                </c:pt>
                <c:pt idx="2">
                  <c:v>7.5900582035484678E-46</c:v>
                </c:pt>
                <c:pt idx="3">
                  <c:v>6.4223227545830132E-41</c:v>
                </c:pt>
                <c:pt idx="4">
                  <c:v>2.5602115663834994E-36</c:v>
                </c:pt>
                <c:pt idx="5">
                  <c:v>4.8912188923248199E-32</c:v>
                </c:pt>
                <c:pt idx="6">
                  <c:v>4.5542162371959633E-28</c:v>
                </c:pt>
                <c:pt idx="7">
                  <c:v>2.1011819898363252E-24</c:v>
                </c:pt>
                <c:pt idx="8">
                  <c:v>4.8830895463220044E-21</c:v>
                </c:pt>
                <c:pt idx="9">
                  <c:v>5.810327120846953E-18</c:v>
                </c:pt>
                <c:pt idx="10">
                  <c:v>3.5982413849372497E-15</c:v>
                </c:pt>
                <c:pt idx="11">
                  <c:v>1.1791085938416131E-12</c:v>
                </c:pt>
                <c:pt idx="12">
                  <c:v>2.0794766888189795E-10</c:v>
                </c:pt>
                <c:pt idx="13">
                  <c:v>2.0088999104435389E-8</c:v>
                </c:pt>
                <c:pt idx="14">
                  <c:v>1.0832537452975903E-6</c:v>
                </c:pt>
                <c:pt idx="15">
                  <c:v>3.3282512007459797E-5</c:v>
                </c:pt>
                <c:pt idx="16">
                  <c:v>5.9645303076430456E-4</c:v>
                </c:pt>
                <c:pt idx="17">
                  <c:v>6.4096148470920156E-3</c:v>
                </c:pt>
                <c:pt idx="18">
                  <c:v>4.2737088163811165E-2</c:v>
                </c:pt>
                <c:pt idx="19">
                  <c:v>0.18465378865842297</c:v>
                </c:pt>
                <c:pt idx="20">
                  <c:v>0.5465973816345695</c:v>
                </c:pt>
                <c:pt idx="21">
                  <c:v>1.1874456961477762</c:v>
                </c:pt>
                <c:pt idx="22">
                  <c:v>2.0452483570414302</c:v>
                </c:pt>
                <c:pt idx="23">
                  <c:v>3.0074041731819534</c:v>
                </c:pt>
                <c:pt idx="24">
                  <c:v>4.0008021599168728</c:v>
                </c:pt>
                <c:pt idx="25">
                  <c:v>5.0000567752313145</c:v>
                </c:pt>
                <c:pt idx="26">
                  <c:v>6.0000026083453974</c:v>
                </c:pt>
                <c:pt idx="27">
                  <c:v>7.0000000776315972</c:v>
                </c:pt>
                <c:pt idx="28">
                  <c:v>8.0000000014983925</c:v>
                </c:pt>
                <c:pt idx="29">
                  <c:v>9.0000000000188436</c:v>
                </c:pt>
                <c:pt idx="30">
                  <c:v>10.000000000000171</c:v>
                </c:pt>
                <c:pt idx="31">
                  <c:v>11</c:v>
                </c:pt>
                <c:pt idx="32">
                  <c:v>12</c:v>
                </c:pt>
                <c:pt idx="33">
                  <c:v>13</c:v>
                </c:pt>
                <c:pt idx="34">
                  <c:v>14</c:v>
                </c:pt>
                <c:pt idx="35">
                  <c:v>15</c:v>
                </c:pt>
                <c:pt idx="36">
                  <c:v>16</c:v>
                </c:pt>
                <c:pt idx="37">
                  <c:v>17</c:v>
                </c:pt>
                <c:pt idx="38">
                  <c:v>18</c:v>
                </c:pt>
                <c:pt idx="39">
                  <c:v>19</c:v>
                </c:pt>
                <c:pt idx="40">
                  <c:v>20</c:v>
                </c:pt>
                <c:pt idx="41">
                  <c:v>21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25</c:v>
                </c:pt>
                <c:pt idx="46">
                  <c:v>26</c:v>
                </c:pt>
                <c:pt idx="47">
                  <c:v>27</c:v>
                </c:pt>
                <c:pt idx="48">
                  <c:v>28</c:v>
                </c:pt>
                <c:pt idx="49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B2-0644-BE39-D30727DE7082}"/>
            </c:ext>
          </c:extLst>
        </c:ser>
        <c:ser>
          <c:idx val="1"/>
          <c:order val="1"/>
          <c:tx>
            <c:v>Payoff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FXOBS!$AD$6:$AD$55</c:f>
              <c:numCache>
                <c:formatCode>General</c:formatCode>
                <c:ptCount val="50"/>
                <c:pt idx="0">
                  <c:v>130</c:v>
                </c:pt>
                <c:pt idx="1">
                  <c:v>131</c:v>
                </c:pt>
                <c:pt idx="2">
                  <c:v>132</c:v>
                </c:pt>
                <c:pt idx="3">
                  <c:v>133</c:v>
                </c:pt>
                <c:pt idx="4">
                  <c:v>134</c:v>
                </c:pt>
                <c:pt idx="5">
                  <c:v>135</c:v>
                </c:pt>
                <c:pt idx="6">
                  <c:v>136</c:v>
                </c:pt>
                <c:pt idx="7">
                  <c:v>137</c:v>
                </c:pt>
                <c:pt idx="8">
                  <c:v>138</c:v>
                </c:pt>
                <c:pt idx="9">
                  <c:v>139</c:v>
                </c:pt>
                <c:pt idx="10">
                  <c:v>140</c:v>
                </c:pt>
                <c:pt idx="11">
                  <c:v>141</c:v>
                </c:pt>
                <c:pt idx="12">
                  <c:v>142</c:v>
                </c:pt>
                <c:pt idx="13">
                  <c:v>143</c:v>
                </c:pt>
                <c:pt idx="14">
                  <c:v>144</c:v>
                </c:pt>
                <c:pt idx="15">
                  <c:v>145</c:v>
                </c:pt>
                <c:pt idx="16">
                  <c:v>146</c:v>
                </c:pt>
                <c:pt idx="17">
                  <c:v>147</c:v>
                </c:pt>
                <c:pt idx="18">
                  <c:v>148</c:v>
                </c:pt>
                <c:pt idx="19">
                  <c:v>149</c:v>
                </c:pt>
                <c:pt idx="20">
                  <c:v>150</c:v>
                </c:pt>
                <c:pt idx="21">
                  <c:v>151</c:v>
                </c:pt>
                <c:pt idx="22">
                  <c:v>152</c:v>
                </c:pt>
                <c:pt idx="23">
                  <c:v>153</c:v>
                </c:pt>
                <c:pt idx="24">
                  <c:v>154</c:v>
                </c:pt>
                <c:pt idx="25">
                  <c:v>155</c:v>
                </c:pt>
                <c:pt idx="26">
                  <c:v>156</c:v>
                </c:pt>
                <c:pt idx="27">
                  <c:v>157</c:v>
                </c:pt>
                <c:pt idx="28">
                  <c:v>158</c:v>
                </c:pt>
                <c:pt idx="29">
                  <c:v>159</c:v>
                </c:pt>
                <c:pt idx="30">
                  <c:v>160</c:v>
                </c:pt>
                <c:pt idx="31">
                  <c:v>161</c:v>
                </c:pt>
                <c:pt idx="32">
                  <c:v>162</c:v>
                </c:pt>
                <c:pt idx="33">
                  <c:v>163</c:v>
                </c:pt>
                <c:pt idx="34">
                  <c:v>164</c:v>
                </c:pt>
                <c:pt idx="35">
                  <c:v>165</c:v>
                </c:pt>
                <c:pt idx="36">
                  <c:v>166</c:v>
                </c:pt>
                <c:pt idx="37">
                  <c:v>167</c:v>
                </c:pt>
                <c:pt idx="38">
                  <c:v>168</c:v>
                </c:pt>
                <c:pt idx="39">
                  <c:v>169</c:v>
                </c:pt>
                <c:pt idx="40">
                  <c:v>170</c:v>
                </c:pt>
                <c:pt idx="41">
                  <c:v>171</c:v>
                </c:pt>
                <c:pt idx="42">
                  <c:v>172</c:v>
                </c:pt>
                <c:pt idx="43">
                  <c:v>173</c:v>
                </c:pt>
                <c:pt idx="44">
                  <c:v>174</c:v>
                </c:pt>
                <c:pt idx="45">
                  <c:v>175</c:v>
                </c:pt>
                <c:pt idx="46">
                  <c:v>176</c:v>
                </c:pt>
                <c:pt idx="47">
                  <c:v>177</c:v>
                </c:pt>
                <c:pt idx="48">
                  <c:v>178</c:v>
                </c:pt>
                <c:pt idx="49">
                  <c:v>179</c:v>
                </c:pt>
              </c:numCache>
            </c:numRef>
          </c:cat>
          <c:val>
            <c:numRef>
              <c:f>FXOBS!$AF$6:$AF$55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3</c:v>
                </c:pt>
                <c:pt idx="24">
                  <c:v>4</c:v>
                </c:pt>
                <c:pt idx="25">
                  <c:v>5</c:v>
                </c:pt>
                <c:pt idx="26">
                  <c:v>6</c:v>
                </c:pt>
                <c:pt idx="27">
                  <c:v>7</c:v>
                </c:pt>
                <c:pt idx="28">
                  <c:v>8</c:v>
                </c:pt>
                <c:pt idx="29">
                  <c:v>9</c:v>
                </c:pt>
                <c:pt idx="30">
                  <c:v>10</c:v>
                </c:pt>
                <c:pt idx="31">
                  <c:v>11</c:v>
                </c:pt>
                <c:pt idx="32">
                  <c:v>12</c:v>
                </c:pt>
                <c:pt idx="33">
                  <c:v>13</c:v>
                </c:pt>
                <c:pt idx="34">
                  <c:v>14</c:v>
                </c:pt>
                <c:pt idx="35">
                  <c:v>15</c:v>
                </c:pt>
                <c:pt idx="36">
                  <c:v>16</c:v>
                </c:pt>
                <c:pt idx="37">
                  <c:v>17</c:v>
                </c:pt>
                <c:pt idx="38">
                  <c:v>18</c:v>
                </c:pt>
                <c:pt idx="39">
                  <c:v>19</c:v>
                </c:pt>
                <c:pt idx="40">
                  <c:v>20</c:v>
                </c:pt>
                <c:pt idx="41">
                  <c:v>21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25</c:v>
                </c:pt>
                <c:pt idx="46">
                  <c:v>26</c:v>
                </c:pt>
                <c:pt idx="47">
                  <c:v>27</c:v>
                </c:pt>
                <c:pt idx="48">
                  <c:v>28</c:v>
                </c:pt>
                <c:pt idx="49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B2-0644-BE39-D30727DE7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9985967"/>
        <c:axId val="769921887"/>
      </c:lineChart>
      <c:catAx>
        <c:axId val="769985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US"/>
          </a:p>
        </c:txPr>
        <c:crossAx val="769921887"/>
        <c:crosses val="autoZero"/>
        <c:auto val="1"/>
        <c:lblAlgn val="ctr"/>
        <c:lblOffset val="100"/>
        <c:noMultiLvlLbl val="0"/>
      </c:catAx>
      <c:valAx>
        <c:axId val="769921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US"/>
          </a:p>
        </c:txPr>
        <c:crossAx val="769985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Option value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Option value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BS!$Q$6:$Q$55</c:f>
              <c:numCache>
                <c:formatCode>General</c:formatCode>
                <c:ptCount val="50"/>
                <c:pt idx="0">
                  <c:v>110</c:v>
                </c:pt>
                <c:pt idx="1">
                  <c:v>111</c:v>
                </c:pt>
                <c:pt idx="2">
                  <c:v>112</c:v>
                </c:pt>
                <c:pt idx="3">
                  <c:v>113</c:v>
                </c:pt>
                <c:pt idx="4">
                  <c:v>114</c:v>
                </c:pt>
                <c:pt idx="5">
                  <c:v>115</c:v>
                </c:pt>
                <c:pt idx="6">
                  <c:v>116</c:v>
                </c:pt>
                <c:pt idx="7">
                  <c:v>117</c:v>
                </c:pt>
                <c:pt idx="8">
                  <c:v>118</c:v>
                </c:pt>
                <c:pt idx="9">
                  <c:v>119</c:v>
                </c:pt>
                <c:pt idx="10">
                  <c:v>120</c:v>
                </c:pt>
                <c:pt idx="11">
                  <c:v>121</c:v>
                </c:pt>
                <c:pt idx="12">
                  <c:v>122</c:v>
                </c:pt>
                <c:pt idx="13">
                  <c:v>123</c:v>
                </c:pt>
                <c:pt idx="14">
                  <c:v>124</c:v>
                </c:pt>
                <c:pt idx="15">
                  <c:v>125</c:v>
                </c:pt>
                <c:pt idx="16">
                  <c:v>126</c:v>
                </c:pt>
                <c:pt idx="17">
                  <c:v>127</c:v>
                </c:pt>
                <c:pt idx="18">
                  <c:v>128</c:v>
                </c:pt>
                <c:pt idx="19">
                  <c:v>129</c:v>
                </c:pt>
                <c:pt idx="20">
                  <c:v>130</c:v>
                </c:pt>
                <c:pt idx="21">
                  <c:v>131</c:v>
                </c:pt>
                <c:pt idx="22">
                  <c:v>132</c:v>
                </c:pt>
                <c:pt idx="23">
                  <c:v>133</c:v>
                </c:pt>
                <c:pt idx="24">
                  <c:v>134</c:v>
                </c:pt>
                <c:pt idx="25">
                  <c:v>135</c:v>
                </c:pt>
                <c:pt idx="26">
                  <c:v>136</c:v>
                </c:pt>
                <c:pt idx="27">
                  <c:v>137</c:v>
                </c:pt>
                <c:pt idx="28">
                  <c:v>138</c:v>
                </c:pt>
                <c:pt idx="29">
                  <c:v>139</c:v>
                </c:pt>
                <c:pt idx="30">
                  <c:v>140</c:v>
                </c:pt>
                <c:pt idx="31">
                  <c:v>141</c:v>
                </c:pt>
                <c:pt idx="32">
                  <c:v>142</c:v>
                </c:pt>
                <c:pt idx="33">
                  <c:v>143</c:v>
                </c:pt>
                <c:pt idx="34">
                  <c:v>144</c:v>
                </c:pt>
                <c:pt idx="35">
                  <c:v>145</c:v>
                </c:pt>
                <c:pt idx="36">
                  <c:v>146</c:v>
                </c:pt>
                <c:pt idx="37">
                  <c:v>147</c:v>
                </c:pt>
                <c:pt idx="38">
                  <c:v>148</c:v>
                </c:pt>
                <c:pt idx="39">
                  <c:v>149</c:v>
                </c:pt>
                <c:pt idx="40">
                  <c:v>150</c:v>
                </c:pt>
                <c:pt idx="41">
                  <c:v>151</c:v>
                </c:pt>
                <c:pt idx="42">
                  <c:v>152</c:v>
                </c:pt>
                <c:pt idx="43">
                  <c:v>153</c:v>
                </c:pt>
                <c:pt idx="44">
                  <c:v>154</c:v>
                </c:pt>
                <c:pt idx="45">
                  <c:v>155</c:v>
                </c:pt>
                <c:pt idx="46">
                  <c:v>156</c:v>
                </c:pt>
                <c:pt idx="47">
                  <c:v>157</c:v>
                </c:pt>
                <c:pt idx="48">
                  <c:v>158</c:v>
                </c:pt>
                <c:pt idx="49">
                  <c:v>159</c:v>
                </c:pt>
              </c:numCache>
            </c:numRef>
          </c:cat>
          <c:val>
            <c:numRef>
              <c:f>BS!$R$6:$R$55</c:f>
              <c:numCache>
                <c:formatCode>General</c:formatCode>
                <c:ptCount val="50"/>
                <c:pt idx="0">
                  <c:v>11.491030587502678</c:v>
                </c:pt>
                <c:pt idx="1">
                  <c:v>11.920802638874406</c:v>
                </c:pt>
                <c:pt idx="2">
                  <c:v>12.359014366990209</c:v>
                </c:pt>
                <c:pt idx="3">
                  <c:v>12.805618253228303</c:v>
                </c:pt>
                <c:pt idx="4">
                  <c:v>13.26056371135693</c:v>
                </c:pt>
                <c:pt idx="5">
                  <c:v>13.723797237423888</c:v>
                </c:pt>
                <c:pt idx="6">
                  <c:v>14.195262557461504</c:v>
                </c:pt>
                <c:pt idx="7">
                  <c:v>14.674900772805863</c:v>
                </c:pt>
                <c:pt idx="8">
                  <c:v>15.162650502850191</c:v>
                </c:pt>
                <c:pt idx="9">
                  <c:v>15.658448025072623</c:v>
                </c:pt>
                <c:pt idx="10">
                  <c:v>16.162227412197524</c:v>
                </c:pt>
                <c:pt idx="11">
                  <c:v>16.673920666367543</c:v>
                </c:pt>
                <c:pt idx="12">
                  <c:v>17.193457850220518</c:v>
                </c:pt>
                <c:pt idx="13">
                  <c:v>17.720767214781482</c:v>
                </c:pt>
                <c:pt idx="14">
                  <c:v>18.255775324094287</c:v>
                </c:pt>
                <c:pt idx="15">
                  <c:v>18.798407176532201</c:v>
                </c:pt>
                <c:pt idx="16">
                  <c:v>19.348586322738846</c:v>
                </c:pt>
                <c:pt idx="17">
                  <c:v>19.906234980164008</c:v>
                </c:pt>
                <c:pt idx="18">
                  <c:v>20.471274144168902</c:v>
                </c:pt>
                <c:pt idx="19">
                  <c:v>21.043623695686918</c:v>
                </c:pt>
                <c:pt idx="20">
                  <c:v>21.62320250543501</c:v>
                </c:pt>
                <c:pt idx="21">
                  <c:v>22.209928534679534</c:v>
                </c:pt>
                <c:pt idx="22">
                  <c:v>22.803718932568962</c:v>
                </c:pt>
                <c:pt idx="23">
                  <c:v>23.404490130052956</c:v>
                </c:pt>
                <c:pt idx="24">
                  <c:v>24.012157930414318</c:v>
                </c:pt>
                <c:pt idx="25">
                  <c:v>24.626637596446223</c:v>
                </c:pt>
                <c:pt idx="26">
                  <c:v>25.247843934312989</c:v>
                </c:pt>
                <c:pt idx="27">
                  <c:v>25.875691374137723</c:v>
                </c:pt>
                <c:pt idx="28">
                  <c:v>26.510094047364127</c:v>
                </c:pt>
                <c:pt idx="29">
                  <c:v>27.150965860944559</c:v>
                </c:pt>
                <c:pt idx="30">
                  <c:v>27.798220568409519</c:v>
                </c:pt>
                <c:pt idx="31">
                  <c:v>28.451771837876763</c:v>
                </c:pt>
                <c:pt idx="32">
                  <c:v>29.111533317061458</c:v>
                </c:pt>
                <c:pt idx="33">
                  <c:v>29.777418695350576</c:v>
                </c:pt>
                <c:pt idx="34">
                  <c:v>30.449341763007268</c:v>
                </c:pt>
                <c:pt idx="35">
                  <c:v>31.127216467571898</c:v>
                </c:pt>
                <c:pt idx="36">
                  <c:v>31.810956967528895</c:v>
                </c:pt>
                <c:pt idx="37">
                  <c:v>32.500477683308077</c:v>
                </c:pt>
                <c:pt idx="38">
                  <c:v>33.195693345691822</c:v>
                </c:pt>
                <c:pt idx="39">
                  <c:v>33.896519041698085</c:v>
                </c:pt>
                <c:pt idx="40">
                  <c:v>34.602870258011308</c:v>
                </c:pt>
                <c:pt idx="41">
                  <c:v>35.314662922032213</c:v>
                </c:pt>
                <c:pt idx="42">
                  <c:v>36.031813440618009</c:v>
                </c:pt>
                <c:pt idx="43">
                  <c:v>36.754238736584256</c:v>
                </c:pt>
                <c:pt idx="44">
                  <c:v>37.481856283039292</c:v>
                </c:pt>
                <c:pt idx="45">
                  <c:v>38.214584135621109</c:v>
                </c:pt>
                <c:pt idx="46">
                  <c:v>38.952340962707041</c:v>
                </c:pt>
                <c:pt idx="47">
                  <c:v>39.6950460736644</c:v>
                </c:pt>
                <c:pt idx="48">
                  <c:v>40.442619445210838</c:v>
                </c:pt>
                <c:pt idx="49">
                  <c:v>41.194981745951097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D1-4148-AC12-450EF944F3C3}"/>
            </c:ext>
          </c:extLst>
        </c:ser>
        <c:ser>
          <c:idx val="1"/>
          <c:order val="1"/>
          <c:tx>
            <c:v>Payoff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BS!$Q$6:$Q$55</c:f>
              <c:numCache>
                <c:formatCode>General</c:formatCode>
                <c:ptCount val="50"/>
                <c:pt idx="0">
                  <c:v>110</c:v>
                </c:pt>
                <c:pt idx="1">
                  <c:v>111</c:v>
                </c:pt>
                <c:pt idx="2">
                  <c:v>112</c:v>
                </c:pt>
                <c:pt idx="3">
                  <c:v>113</c:v>
                </c:pt>
                <c:pt idx="4">
                  <c:v>114</c:v>
                </c:pt>
                <c:pt idx="5">
                  <c:v>115</c:v>
                </c:pt>
                <c:pt idx="6">
                  <c:v>116</c:v>
                </c:pt>
                <c:pt idx="7">
                  <c:v>117</c:v>
                </c:pt>
                <c:pt idx="8">
                  <c:v>118</c:v>
                </c:pt>
                <c:pt idx="9">
                  <c:v>119</c:v>
                </c:pt>
                <c:pt idx="10">
                  <c:v>120</c:v>
                </c:pt>
                <c:pt idx="11">
                  <c:v>121</c:v>
                </c:pt>
                <c:pt idx="12">
                  <c:v>122</c:v>
                </c:pt>
                <c:pt idx="13">
                  <c:v>123</c:v>
                </c:pt>
                <c:pt idx="14">
                  <c:v>124</c:v>
                </c:pt>
                <c:pt idx="15">
                  <c:v>125</c:v>
                </c:pt>
                <c:pt idx="16">
                  <c:v>126</c:v>
                </c:pt>
                <c:pt idx="17">
                  <c:v>127</c:v>
                </c:pt>
                <c:pt idx="18">
                  <c:v>128</c:v>
                </c:pt>
                <c:pt idx="19">
                  <c:v>129</c:v>
                </c:pt>
                <c:pt idx="20">
                  <c:v>130</c:v>
                </c:pt>
                <c:pt idx="21">
                  <c:v>131</c:v>
                </c:pt>
                <c:pt idx="22">
                  <c:v>132</c:v>
                </c:pt>
                <c:pt idx="23">
                  <c:v>133</c:v>
                </c:pt>
                <c:pt idx="24">
                  <c:v>134</c:v>
                </c:pt>
                <c:pt idx="25">
                  <c:v>135</c:v>
                </c:pt>
                <c:pt idx="26">
                  <c:v>136</c:v>
                </c:pt>
                <c:pt idx="27">
                  <c:v>137</c:v>
                </c:pt>
                <c:pt idx="28">
                  <c:v>138</c:v>
                </c:pt>
                <c:pt idx="29">
                  <c:v>139</c:v>
                </c:pt>
                <c:pt idx="30">
                  <c:v>140</c:v>
                </c:pt>
                <c:pt idx="31">
                  <c:v>141</c:v>
                </c:pt>
                <c:pt idx="32">
                  <c:v>142</c:v>
                </c:pt>
                <c:pt idx="33">
                  <c:v>143</c:v>
                </c:pt>
                <c:pt idx="34">
                  <c:v>144</c:v>
                </c:pt>
                <c:pt idx="35">
                  <c:v>145</c:v>
                </c:pt>
                <c:pt idx="36">
                  <c:v>146</c:v>
                </c:pt>
                <c:pt idx="37">
                  <c:v>147</c:v>
                </c:pt>
                <c:pt idx="38">
                  <c:v>148</c:v>
                </c:pt>
                <c:pt idx="39">
                  <c:v>149</c:v>
                </c:pt>
                <c:pt idx="40">
                  <c:v>150</c:v>
                </c:pt>
                <c:pt idx="41">
                  <c:v>151</c:v>
                </c:pt>
                <c:pt idx="42">
                  <c:v>152</c:v>
                </c:pt>
                <c:pt idx="43">
                  <c:v>153</c:v>
                </c:pt>
                <c:pt idx="44">
                  <c:v>154</c:v>
                </c:pt>
                <c:pt idx="45">
                  <c:v>155</c:v>
                </c:pt>
                <c:pt idx="46">
                  <c:v>156</c:v>
                </c:pt>
                <c:pt idx="47">
                  <c:v>157</c:v>
                </c:pt>
                <c:pt idx="48">
                  <c:v>158</c:v>
                </c:pt>
                <c:pt idx="49">
                  <c:v>159</c:v>
                </c:pt>
              </c:numCache>
            </c:numRef>
          </c:cat>
          <c:val>
            <c:numRef>
              <c:f>BS!$S$6:$S$55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3</c:v>
                </c:pt>
                <c:pt idx="24">
                  <c:v>4</c:v>
                </c:pt>
                <c:pt idx="25">
                  <c:v>5</c:v>
                </c:pt>
                <c:pt idx="26">
                  <c:v>6</c:v>
                </c:pt>
                <c:pt idx="27">
                  <c:v>7</c:v>
                </c:pt>
                <c:pt idx="28">
                  <c:v>8</c:v>
                </c:pt>
                <c:pt idx="29">
                  <c:v>9</c:v>
                </c:pt>
                <c:pt idx="30">
                  <c:v>10</c:v>
                </c:pt>
                <c:pt idx="31">
                  <c:v>11</c:v>
                </c:pt>
                <c:pt idx="32">
                  <c:v>12</c:v>
                </c:pt>
                <c:pt idx="33">
                  <c:v>13</c:v>
                </c:pt>
                <c:pt idx="34">
                  <c:v>14</c:v>
                </c:pt>
                <c:pt idx="35">
                  <c:v>15</c:v>
                </c:pt>
                <c:pt idx="36">
                  <c:v>16</c:v>
                </c:pt>
                <c:pt idx="37">
                  <c:v>17</c:v>
                </c:pt>
                <c:pt idx="38">
                  <c:v>18</c:v>
                </c:pt>
                <c:pt idx="39">
                  <c:v>19</c:v>
                </c:pt>
                <c:pt idx="40">
                  <c:v>20</c:v>
                </c:pt>
                <c:pt idx="41">
                  <c:v>21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25</c:v>
                </c:pt>
                <c:pt idx="46">
                  <c:v>26</c:v>
                </c:pt>
                <c:pt idx="47">
                  <c:v>27</c:v>
                </c:pt>
                <c:pt idx="48">
                  <c:v>28</c:v>
                </c:pt>
                <c:pt idx="49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D1-4148-AC12-450EF944F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9985967"/>
        <c:axId val="769921887"/>
      </c:lineChart>
      <c:catAx>
        <c:axId val="769985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US"/>
          </a:p>
        </c:txPr>
        <c:crossAx val="769921887"/>
        <c:crosses val="autoZero"/>
        <c:auto val="1"/>
        <c:lblAlgn val="ctr"/>
        <c:lblOffset val="100"/>
        <c:noMultiLvlLbl val="0"/>
      </c:catAx>
      <c:valAx>
        <c:axId val="769921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US"/>
          </a:p>
        </c:txPr>
        <c:crossAx val="7699859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Delta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Greeks!$B$3</c:f>
              <c:strCache>
                <c:ptCount val="1"/>
                <c:pt idx="0">
                  <c:v>Delta 0.5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Greeks!$AA$4:$AA$103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Greeks!$B$4:$B$103</c:f>
              <c:numCache>
                <c:formatCode>0.000</c:formatCode>
                <c:ptCount val="100"/>
                <c:pt idx="0">
                  <c:v>5.1332082917907461E-75</c:v>
                </c:pt>
                <c:pt idx="1">
                  <c:v>2.6860630117342312E-51</c:v>
                </c:pt>
                <c:pt idx="2">
                  <c:v>1.455626354037003E-39</c:v>
                </c:pt>
                <c:pt idx="3">
                  <c:v>3.4000136885040191E-32</c:v>
                </c:pt>
                <c:pt idx="4">
                  <c:v>5.0188904137973148E-27</c:v>
                </c:pt>
                <c:pt idx="5">
                  <c:v>3.7179775834455025E-23</c:v>
                </c:pt>
                <c:pt idx="6">
                  <c:v>3.9285055490217448E-20</c:v>
                </c:pt>
                <c:pt idx="7">
                  <c:v>1.0724390330406408E-17</c:v>
                </c:pt>
                <c:pt idx="8">
                  <c:v>1.0919344889829423E-15</c:v>
                </c:pt>
                <c:pt idx="9">
                  <c:v>5.2778059195849764E-14</c:v>
                </c:pt>
                <c:pt idx="10">
                  <c:v>1.4297673431712062E-12</c:v>
                </c:pt>
                <c:pt idx="11">
                  <c:v>2.4443830908465321E-11</c:v>
                </c:pt>
                <c:pt idx="12">
                  <c:v>2.8782133355237142E-10</c:v>
                </c:pt>
                <c:pt idx="13">
                  <c:v>2.4934111960087249E-9</c:v>
                </c:pt>
                <c:pt idx="14">
                  <c:v>1.6722313962930927E-8</c:v>
                </c:pt>
                <c:pt idx="15">
                  <c:v>9.0365272225269851E-8</c:v>
                </c:pt>
                <c:pt idx="16">
                  <c:v>4.062286602672027E-7</c:v>
                </c:pt>
                <c:pt idx="17">
                  <c:v>1.5588933669520255E-6</c:v>
                </c:pt>
                <c:pt idx="18">
                  <c:v>5.2157941136039076E-6</c:v>
                </c:pt>
                <c:pt idx="19">
                  <c:v>1.5483950024769235E-5</c:v>
                </c:pt>
                <c:pt idx="20">
                  <c:v>4.1385750963595891E-5</c:v>
                </c:pt>
                <c:pt idx="21">
                  <c:v>1.0082795917900928E-4</c:v>
                </c:pt>
                <c:pt idx="22">
                  <c:v>2.2626665490537305E-4</c:v>
                </c:pt>
                <c:pt idx="23">
                  <c:v>4.7191296087323894E-4</c:v>
                </c:pt>
                <c:pt idx="24">
                  <c:v>9.2184495165037027E-4</c:v>
                </c:pt>
                <c:pt idx="25">
                  <c:v>1.6979080073392218E-3</c:v>
                </c:pt>
                <c:pt idx="26">
                  <c:v>2.9659440789755929E-3</c:v>
                </c:pt>
                <c:pt idx="27">
                  <c:v>4.9388124031615266E-3</c:v>
                </c:pt>
                <c:pt idx="28">
                  <c:v>7.8749073699388369E-3</c:v>
                </c:pt>
                <c:pt idx="29">
                  <c:v>1.2071416312262294E-2</c:v>
                </c:pt>
                <c:pt idx="30">
                  <c:v>1.7852288678875654E-2</c:v>
                </c:pt>
                <c:pt idx="31">
                  <c:v>2.5551662398754581E-2</c:v>
                </c:pt>
                <c:pt idx="32">
                  <c:v>3.5494163808787768E-2</c:v>
                </c:pt>
                <c:pt idx="33">
                  <c:v>4.7973947087028651E-2</c:v>
                </c:pt>
                <c:pt idx="34">
                  <c:v>6.3234504740702246E-2</c:v>
                </c:pt>
                <c:pt idx="35">
                  <c:v>8.1451158963543199E-2</c:v>
                </c:pt>
                <c:pt idx="36">
                  <c:v>0.10271778185647695</c:v>
                </c:pt>
                <c:pt idx="37">
                  <c:v>0.12703877067408278</c:v>
                </c:pt>
                <c:pt idx="38">
                  <c:v>0.15432671480064075</c:v>
                </c:pt>
                <c:pt idx="39">
                  <c:v>0.18440562060698273</c:v>
                </c:pt>
                <c:pt idx="40">
                  <c:v>0.21701907661461509</c:v>
                </c:pt>
                <c:pt idx="41">
                  <c:v>0.25184238743047926</c:v>
                </c:pt>
                <c:pt idx="42">
                  <c:v>0.28849749804993263</c:v>
                </c:pt>
                <c:pt idx="43">
                  <c:v>0.32656946570213696</c:v>
                </c:pt>
                <c:pt idx="44">
                  <c:v>0.3656232937658952</c:v>
                </c:pt>
                <c:pt idx="45">
                  <c:v>0.4052200914166153</c:v>
                </c:pt>
                <c:pt idx="46">
                  <c:v>0.44493173036781197</c:v>
                </c:pt>
                <c:pt idx="47">
                  <c:v>0.4843534047467063</c:v>
                </c:pt>
                <c:pt idx="48">
                  <c:v>0.52311373503777414</c:v>
                </c:pt>
                <c:pt idx="49">
                  <c:v>0.56088227191310724</c:v>
                </c:pt>
                <c:pt idx="50">
                  <c:v>0.59737443734914308</c:v>
                </c:pt>
                <c:pt idx="51">
                  <c:v>0.6323540818211546</c:v>
                </c:pt>
                <c:pt idx="52">
                  <c:v>0.6656339360090362</c:v>
                </c:pt>
                <c:pt idx="53">
                  <c:v>0.69707429576484703</c:v>
                </c:pt>
                <c:pt idx="54">
                  <c:v>0.72658030514178318</c:v>
                </c:pt>
                <c:pt idx="55">
                  <c:v>0.75409820054764642</c:v>
                </c:pt>
                <c:pt idx="56">
                  <c:v>0.77961085649057671</c:v>
                </c:pt>
                <c:pt idx="57">
                  <c:v>0.80313293658233598</c:v>
                </c:pt>
                <c:pt idx="58">
                  <c:v>0.82470590835805591</c:v>
                </c:pt>
                <c:pt idx="59">
                  <c:v>0.84439313195733645</c:v>
                </c:pt>
                <c:pt idx="60">
                  <c:v>0.8622751845889316</c:v>
                </c:pt>
                <c:pt idx="61">
                  <c:v>0.87844553770336908</c:v>
                </c:pt>
                <c:pt idx="62">
                  <c:v>0.89300666370235915</c:v>
                </c:pt>
                <c:pt idx="63">
                  <c:v>0.90606661479551931</c:v>
                </c:pt>
                <c:pt idx="64">
                  <c:v>0.91773608861378608</c:v>
                </c:pt>
                <c:pt idx="65">
                  <c:v>0.9281259732742092</c:v>
                </c:pt>
                <c:pt idx="66">
                  <c:v>0.93734534830913629</c:v>
                </c:pt>
                <c:pt idx="67">
                  <c:v>0.94549990657277339</c:v>
                </c:pt>
                <c:pt idx="68">
                  <c:v>0.95269075517050583</c:v>
                </c:pt>
                <c:pt idx="69">
                  <c:v>0.95901354984944465</c:v>
                </c:pt>
                <c:pt idx="70">
                  <c:v>0.96455791640141542</c:v>
                </c:pt>
                <c:pt idx="71">
                  <c:v>0.96940711378646949</c:v>
                </c:pt>
                <c:pt idx="72">
                  <c:v>0.97363789629528019</c:v>
                </c:pt>
                <c:pt idx="73">
                  <c:v>0.97732053563492483</c:v>
                </c:pt>
                <c:pt idx="74">
                  <c:v>0.98051896793979354</c:v>
                </c:pt>
                <c:pt idx="75">
                  <c:v>0.98329103506020088</c:v>
                </c:pt>
                <c:pt idx="76">
                  <c:v>0.98568879382627905</c:v>
                </c:pt>
                <c:pt idx="77">
                  <c:v>0.98775887115186245</c:v>
                </c:pt>
                <c:pt idx="78">
                  <c:v>0.98954284671644044</c:v>
                </c:pt>
                <c:pt idx="79">
                  <c:v>0.99107764847229252</c:v>
                </c:pt>
                <c:pt idx="80">
                  <c:v>0.99239594933342401</c:v>
                </c:pt>
                <c:pt idx="81">
                  <c:v>0.99352655610433216</c:v>
                </c:pt>
                <c:pt idx="82">
                  <c:v>0.99449478401059654</c:v>
                </c:pt>
                <c:pt idx="83">
                  <c:v>0.99532281212352547</c:v>
                </c:pt>
                <c:pt idx="84">
                  <c:v>0.99603001655951251</c:v>
                </c:pt>
                <c:pt idx="85">
                  <c:v>0.99663327961767689</c:v>
                </c:pt>
                <c:pt idx="86">
                  <c:v>0.99714727403461778</c:v>
                </c:pt>
                <c:pt idx="87">
                  <c:v>0.99758472232008277</c:v>
                </c:pt>
                <c:pt idx="88">
                  <c:v>0.99795663172745697</c:v>
                </c:pt>
                <c:pt idx="89">
                  <c:v>0.99827250584090765</c:v>
                </c:pt>
                <c:pt idx="90">
                  <c:v>0.99854053405612575</c:v>
                </c:pt>
                <c:pt idx="91">
                  <c:v>0.99876776041978177</c:v>
                </c:pt>
                <c:pt idx="92">
                  <c:v>0.99896023339646467</c:v>
                </c:pt>
                <c:pt idx="93">
                  <c:v>0.99912313817008069</c:v>
                </c:pt>
                <c:pt idx="94">
                  <c:v>0.99926091307545706</c:v>
                </c:pt>
                <c:pt idx="95">
                  <c:v>0.99937735170844078</c:v>
                </c:pt>
                <c:pt idx="96">
                  <c:v>0.99947569218987897</c:v>
                </c:pt>
                <c:pt idx="97">
                  <c:v>0.99955869496911653</c:v>
                </c:pt>
                <c:pt idx="98">
                  <c:v>0.99962871045286483</c:v>
                </c:pt>
                <c:pt idx="99">
                  <c:v>0.99968773764071706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1A-CD4A-BB46-D73ED3431B1F}"/>
            </c:ext>
          </c:extLst>
        </c:ser>
        <c:ser>
          <c:idx val="1"/>
          <c:order val="1"/>
          <c:tx>
            <c:strRef>
              <c:f>Greeks!$AB$3</c:f>
              <c:strCache>
                <c:ptCount val="1"/>
                <c:pt idx="0">
                  <c:v>Maturity 0.1</c:v>
                </c:pt>
              </c:strCache>
            </c:strRef>
          </c:tx>
          <c:spPr>
            <a:ln w="28575" cap="rnd">
              <a:solidFill>
                <a:schemeClr val="accent2">
                  <a:lumMod val="40000"/>
                  <a:lumOff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Greeks!$AA$4:$AA$103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Greeks!$AB$4:$AB$103</c:f>
              <c:numCache>
                <c:formatCode>0.000</c:formatCode>
                <c:ptCount val="100"/>
                <c:pt idx="0">
                  <c:v>0</c:v>
                </c:pt>
                <c:pt idx="1">
                  <c:v>1.2325464155219652E-251</c:v>
                </c:pt>
                <c:pt idx="2">
                  <c:v>1.0840465705518044E-192</c:v>
                </c:pt>
                <c:pt idx="3">
                  <c:v>1.124193847466616E-155</c:v>
                </c:pt>
                <c:pt idx="4">
                  <c:v>1.0378004714414268E-129</c:v>
                </c:pt>
                <c:pt idx="5">
                  <c:v>2.8226215933681989E-110</c:v>
                </c:pt>
                <c:pt idx="6">
                  <c:v>4.2990051065964214E-95</c:v>
                </c:pt>
                <c:pt idx="7">
                  <c:v>7.2530451701905099E-83</c:v>
                </c:pt>
                <c:pt idx="8">
                  <c:v>8.5770268261961074E-73</c:v>
                </c:pt>
                <c:pt idx="9">
                  <c:v>2.3891413860532727E-64</c:v>
                </c:pt>
                <c:pt idx="10">
                  <c:v>3.6116572613308746E-57</c:v>
                </c:pt>
                <c:pt idx="11">
                  <c:v>5.3797591608373623E-51</c:v>
                </c:pt>
                <c:pt idx="12">
                  <c:v>1.2251916453571078E-45</c:v>
                </c:pt>
                <c:pt idx="13">
                  <c:v>5.9447183181848334E-41</c:v>
                </c:pt>
                <c:pt idx="14">
                  <c:v>7.9379493818448581E-37</c:v>
                </c:pt>
                <c:pt idx="15">
                  <c:v>3.5666166682561171E-33</c:v>
                </c:pt>
                <c:pt idx="16">
                  <c:v>6.3306914374141821E-30</c:v>
                </c:pt>
                <c:pt idx="17">
                  <c:v>5.0542261036749371E-27</c:v>
                </c:pt>
                <c:pt idx="18">
                  <c:v>2.0184302237466159E-24</c:v>
                </c:pt>
                <c:pt idx="19">
                  <c:v>4.4026989962856206E-22</c:v>
                </c:pt>
                <c:pt idx="20">
                  <c:v>5.6452328335529099E-20</c:v>
                </c:pt>
                <c:pt idx="21">
                  <c:v>4.5268785452732888E-18</c:v>
                </c:pt>
                <c:pt idx="22">
                  <c:v>2.3928650436996601E-16</c:v>
                </c:pt>
                <c:pt idx="23">
                  <c:v>8.7214468090020085E-15</c:v>
                </c:pt>
                <c:pt idx="24">
                  <c:v>2.2784798539578458E-13</c:v>
                </c:pt>
                <c:pt idx="25">
                  <c:v>4.4123971372411284E-12</c:v>
                </c:pt>
                <c:pt idx="26">
                  <c:v>6.5220691863463637E-11</c:v>
                </c:pt>
                <c:pt idx="27">
                  <c:v>7.5493217046714678E-10</c:v>
                </c:pt>
                <c:pt idx="28">
                  <c:v>6.9990276068204524E-9</c:v>
                </c:pt>
                <c:pt idx="29">
                  <c:v>5.3019434881300088E-8</c:v>
                </c:pt>
                <c:pt idx="30">
                  <c:v>3.3403363027972286E-7</c:v>
                </c:pt>
                <c:pt idx="31">
                  <c:v>1.7781153567347862E-6</c:v>
                </c:pt>
                <c:pt idx="32">
                  <c:v>8.1111578175019552E-6</c:v>
                </c:pt>
                <c:pt idx="33">
                  <c:v>3.2112625149914847E-5</c:v>
                </c:pt>
                <c:pt idx="34">
                  <c:v>1.1161331169993837E-4</c:v>
                </c:pt>
                <c:pt idx="35">
                  <c:v>3.4412077553724966E-4</c:v>
                </c:pt>
                <c:pt idx="36">
                  <c:v>9.5007607518324906E-4</c:v>
                </c:pt>
                <c:pt idx="37">
                  <c:v>2.3691832333515607E-3</c:v>
                </c:pt>
                <c:pt idx="38">
                  <c:v>5.3784775773212425E-3</c:v>
                </c:pt>
                <c:pt idx="39">
                  <c:v>1.1196832502197688E-2</c:v>
                </c:pt>
                <c:pt idx="40">
                  <c:v>2.1519024387679987E-2</c:v>
                </c:pt>
                <c:pt idx="41">
                  <c:v>3.8419405351571755E-2</c:v>
                </c:pt>
                <c:pt idx="42">
                  <c:v>6.4092682263039477E-2</c:v>
                </c:pt>
                <c:pt idx="43">
                  <c:v>0.10045450858093402</c:v>
                </c:pt>
                <c:pt idx="44">
                  <c:v>0.14868698597200994</c:v>
                </c:pt>
                <c:pt idx="45">
                  <c:v>0.20885420668851384</c:v>
                </c:pt>
                <c:pt idx="46">
                  <c:v>0.27970838964131173</c:v>
                </c:pt>
                <c:pt idx="47">
                  <c:v>0.35875613123309014</c:v>
                </c:pt>
                <c:pt idx="48">
                  <c:v>0.44257682521852498</c:v>
                </c:pt>
                <c:pt idx="49">
                  <c:v>0.5273125644325769</c:v>
                </c:pt>
                <c:pt idx="50">
                  <c:v>0.60920747463138247</c:v>
                </c:pt>
                <c:pt idx="51">
                  <c:v>0.68507522945213151</c:v>
                </c:pt>
                <c:pt idx="52">
                  <c:v>0.75260944436986388</c:v>
                </c:pt>
                <c:pt idx="53">
                  <c:v>0.81050441518136696</c:v>
                </c:pt>
                <c:pt idx="54">
                  <c:v>0.8584033662552919</c:v>
                </c:pt>
                <c:pt idx="55">
                  <c:v>0.89672432099708477</c:v>
                </c:pt>
                <c:pt idx="56">
                  <c:v>0.92642543888743945</c:v>
                </c:pt>
                <c:pt idx="57">
                  <c:v>0.94876552665798031</c:v>
                </c:pt>
                <c:pt idx="58">
                  <c:v>0.96509884607658891</c:v>
                </c:pt>
                <c:pt idx="59">
                  <c:v>0.97672402162819971</c:v>
                </c:pt>
                <c:pt idx="60">
                  <c:v>0.98479037883160148</c:v>
                </c:pt>
                <c:pt idx="61">
                  <c:v>0.99025409388126118</c:v>
                </c:pt>
                <c:pt idx="62">
                  <c:v>0.99387132498880748</c:v>
                </c:pt>
                <c:pt idx="63">
                  <c:v>0.99621476986659219</c:v>
                </c:pt>
                <c:pt idx="64">
                  <c:v>0.99770209572280133</c:v>
                </c:pt>
                <c:pt idx="65">
                  <c:v>0.99862782742412315</c:v>
                </c:pt>
                <c:pt idx="66">
                  <c:v>0.99919344190266601</c:v>
                </c:pt>
                <c:pt idx="67">
                  <c:v>0.9995330021394776</c:v>
                </c:pt>
                <c:pt idx="68">
                  <c:v>0.99973347521738687</c:v>
                </c:pt>
                <c:pt idx="69">
                  <c:v>0.9998499680334002</c:v>
                </c:pt>
                <c:pt idx="70">
                  <c:v>0.99991664676756065</c:v>
                </c:pt>
                <c:pt idx="71">
                  <c:v>0.99995426891108086</c:v>
                </c:pt>
                <c:pt idx="72">
                  <c:v>0.99997520875155654</c:v>
                </c:pt>
                <c:pt idx="73">
                  <c:v>0.99998671321537613</c:v>
                </c:pt>
                <c:pt idx="74">
                  <c:v>0.99999295626813556</c:v>
                </c:pt>
                <c:pt idx="75">
                  <c:v>0.99999630457683442</c:v>
                </c:pt>
                <c:pt idx="76">
                  <c:v>0.99999808039621119</c:v>
                </c:pt>
                <c:pt idx="77">
                  <c:v>0.99999901225767829</c:v>
                </c:pt>
                <c:pt idx="78">
                  <c:v>0.99999949632512886</c:v>
                </c:pt>
                <c:pt idx="79">
                  <c:v>0.99999974536794434</c:v>
                </c:pt>
                <c:pt idx="80">
                  <c:v>0.99999987232504628</c:v>
                </c:pt>
                <c:pt idx="81">
                  <c:v>0.99999993648237373</c:v>
                </c:pt>
                <c:pt idx="82">
                  <c:v>0.99999996863555884</c:v>
                </c:pt>
                <c:pt idx="83">
                  <c:v>0.99999998462243767</c:v>
                </c:pt>
                <c:pt idx="84">
                  <c:v>0.99999999251159399</c:v>
                </c:pt>
                <c:pt idx="85">
                  <c:v>0.99999999637688419</c:v>
                </c:pt>
                <c:pt idx="86">
                  <c:v>0.99999999825779606</c:v>
                </c:pt>
                <c:pt idx="87">
                  <c:v>0.99999999916714966</c:v>
                </c:pt>
                <c:pt idx="88">
                  <c:v>0.99999999960407948</c:v>
                </c:pt>
                <c:pt idx="89">
                  <c:v>0.99999999981278587</c:v>
                </c:pt>
                <c:pt idx="90">
                  <c:v>0.99999999991192134</c:v>
                </c:pt>
                <c:pt idx="91">
                  <c:v>0.99999999995876077</c:v>
                </c:pt>
                <c:pt idx="92">
                  <c:v>0.99999999998077971</c:v>
                </c:pt>
                <c:pt idx="93">
                  <c:v>0.99999999999108091</c:v>
                </c:pt>
                <c:pt idx="94">
                  <c:v>0.9999999999958783</c:v>
                </c:pt>
                <c:pt idx="95">
                  <c:v>0.99999999999810274</c:v>
                </c:pt>
                <c:pt idx="96">
                  <c:v>0.99999999999912992</c:v>
                </c:pt>
                <c:pt idx="97">
                  <c:v>0.99999999999960243</c:v>
                </c:pt>
                <c:pt idx="98">
                  <c:v>0.99999999999981892</c:v>
                </c:pt>
                <c:pt idx="99">
                  <c:v>0.99999999999991773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FF-2C40-A4B2-056E7C616D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72847"/>
        <c:axId val="2075390816"/>
      </c:lineChart>
      <c:catAx>
        <c:axId val="123728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US"/>
          </a:p>
        </c:txPr>
        <c:crossAx val="2075390816"/>
        <c:crosses val="autoZero"/>
        <c:auto val="1"/>
        <c:lblAlgn val="ctr"/>
        <c:lblOffset val="100"/>
        <c:noMultiLvlLbl val="0"/>
      </c:catAx>
      <c:valAx>
        <c:axId val="207539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US"/>
          </a:p>
        </c:txPr>
        <c:crossAx val="123728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Gamma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Greeks!$C$3</c:f>
              <c:strCache>
                <c:ptCount val="1"/>
                <c:pt idx="0">
                  <c:v>Gamma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Greeks!$AA$4:$AA$103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Greeks!$C$4:$C$103</c:f>
              <c:numCache>
                <c:formatCode>0.000</c:formatCode>
                <c:ptCount val="100"/>
                <c:pt idx="0">
                  <c:v>4.4385757270482388E-73</c:v>
                </c:pt>
                <c:pt idx="1">
                  <c:v>9.5515682960666003E-50</c:v>
                </c:pt>
                <c:pt idx="2">
                  <c:v>3.0157444712338614E-38</c:v>
                </c:pt>
                <c:pt idx="3">
                  <c:v>4.7430666901548799E-31</c:v>
                </c:pt>
                <c:pt idx="4">
                  <c:v>5.1071696851313315E-26</c:v>
                </c:pt>
                <c:pt idx="5">
                  <c:v>2.9040076669076E-22</c:v>
                </c:pt>
                <c:pt idx="6">
                  <c:v>2.4398590605392286E-19</c:v>
                </c:pt>
                <c:pt idx="7">
                  <c:v>5.4349715009862087E-17</c:v>
                </c:pt>
                <c:pt idx="8">
                  <c:v>4.6056923203356166E-15</c:v>
                </c:pt>
                <c:pt idx="9">
                  <c:v>1.8818593693118437E-13</c:v>
                </c:pt>
                <c:pt idx="10">
                  <c:v>4.3640135377698149E-12</c:v>
                </c:pt>
                <c:pt idx="11">
                  <c:v>6.4528931094111627E-11</c:v>
                </c:pt>
                <c:pt idx="12">
                  <c:v>6.6283457078346325E-10</c:v>
                </c:pt>
                <c:pt idx="13">
                  <c:v>5.0457058714181552E-9</c:v>
                </c:pt>
                <c:pt idx="14">
                  <c:v>2.9919381559077814E-8</c:v>
                </c:pt>
                <c:pt idx="15">
                  <c:v>1.4371060093933544E-7</c:v>
                </c:pt>
                <c:pt idx="16">
                  <c:v>5.768700000078962E-7</c:v>
                </c:pt>
                <c:pt idx="17">
                  <c:v>1.9845877531449574E-6</c:v>
                </c:pt>
                <c:pt idx="18">
                  <c:v>5.9734363907507689E-6</c:v>
                </c:pt>
                <c:pt idx="19">
                  <c:v>1.6001015209949018E-5</c:v>
                </c:pt>
                <c:pt idx="20">
                  <c:v>3.8692315062393284E-5</c:v>
                </c:pt>
                <c:pt idx="21">
                  <c:v>8.5479845383647985E-5</c:v>
                </c:pt>
                <c:pt idx="22">
                  <c:v>1.742948155789797E-4</c:v>
                </c:pt>
                <c:pt idx="23">
                  <c:v>3.3087555136552242E-4</c:v>
                </c:pt>
                <c:pt idx="24">
                  <c:v>5.8918837788269501E-4</c:v>
                </c:pt>
                <c:pt idx="25">
                  <c:v>9.9052450939990182E-4</c:v>
                </c:pt>
                <c:pt idx="26">
                  <c:v>1.5810469932563233E-3</c:v>
                </c:pt>
                <c:pt idx="27">
                  <c:v>2.4078676707278979E-3</c:v>
                </c:pt>
                <c:pt idx="28">
                  <c:v>3.5140558182220195E-3</c:v>
                </c:pt>
                <c:pt idx="29">
                  <c:v>4.9332333326439666E-3</c:v>
                </c:pt>
                <c:pt idx="30">
                  <c:v>6.6845339498615352E-3</c:v>
                </c:pt>
                <c:pt idx="31">
                  <c:v>8.7686721769806748E-3</c:v>
                </c:pt>
                <c:pt idx="32">
                  <c:v>1.1165697476145948E-2</c:v>
                </c:pt>
                <c:pt idx="33">
                  <c:v>1.3834746725630296E-2</c:v>
                </c:pt>
                <c:pt idx="34">
                  <c:v>1.6715812746571711E-2</c:v>
                </c:pt>
                <c:pt idx="35">
                  <c:v>1.9733275825989313E-2</c:v>
                </c:pt>
                <c:pt idx="36">
                  <c:v>2.2800741364345428E-2</c:v>
                </c:pt>
                <c:pt idx="37">
                  <c:v>2.582661256348669E-2</c:v>
                </c:pt>
                <c:pt idx="38">
                  <c:v>2.8719804958859056E-2</c:v>
                </c:pt>
                <c:pt idx="39">
                  <c:v>3.1395066311754996E-2</c:v>
                </c:pt>
                <c:pt idx="40">
                  <c:v>3.3777478058186206E-2</c:v>
                </c:pt>
                <c:pt idx="41">
                  <c:v>3.5805857016160583E-2</c:v>
                </c:pt>
                <c:pt idx="42">
                  <c:v>3.7434924038431773E-2</c:v>
                </c:pt>
                <c:pt idx="43">
                  <c:v>3.8636240518384581E-2</c:v>
                </c:pt>
                <c:pt idx="44">
                  <c:v>3.9398021445552309E-2</c:v>
                </c:pt>
                <c:pt idx="45">
                  <c:v>3.9724008963747393E-2</c:v>
                </c:pt>
                <c:pt idx="46">
                  <c:v>3.9631632564521721E-2</c:v>
                </c:pt>
                <c:pt idx="47">
                  <c:v>3.9149694648888844E-2</c:v>
                </c:pt>
                <c:pt idx="48">
                  <c:v>3.8315809135865124E-2</c:v>
                </c:pt>
                <c:pt idx="49">
                  <c:v>3.7173793003029122E-2</c:v>
                </c:pt>
                <c:pt idx="50">
                  <c:v>3.5771172906738029E-2</c:v>
                </c:pt>
                <c:pt idx="51">
                  <c:v>3.4156927280766899E-2</c:v>
                </c:pt>
                <c:pt idx="52">
                  <c:v>3.2379543225879631E-2</c:v>
                </c:pt>
                <c:pt idx="53">
                  <c:v>3.0485430374935143E-2</c:v>
                </c:pt>
                <c:pt idx="54">
                  <c:v>2.8517702744041196E-2</c:v>
                </c:pt>
                <c:pt idx="55">
                  <c:v>2.6515315252541902E-2</c:v>
                </c:pt>
                <c:pt idx="56">
                  <c:v>2.4512524154824012E-2</c:v>
                </c:pt>
                <c:pt idx="57">
                  <c:v>2.2538629524084391E-2</c:v>
                </c:pt>
                <c:pt idx="58">
                  <c:v>2.0617952252598288E-2</c:v>
                </c:pt>
                <c:pt idx="59">
                  <c:v>1.8769996708426075E-2</c:v>
                </c:pt>
                <c:pt idx="60">
                  <c:v>1.7009752116981469E-2</c:v>
                </c:pt>
                <c:pt idx="61">
                  <c:v>1.5348089896912446E-2</c:v>
                </c:pt>
                <c:pt idx="62">
                  <c:v>1.3792219689470848E-2</c:v>
                </c:pt>
                <c:pt idx="63">
                  <c:v>1.2346172959449264E-2</c:v>
                </c:pt>
                <c:pt idx="64">
                  <c:v>1.1011289263027713E-2</c:v>
                </c:pt>
                <c:pt idx="65">
                  <c:v>9.7866861801709625E-3</c:v>
                </c:pt>
                <c:pt idx="66">
                  <c:v>8.6696992403414389E-3</c:v>
                </c:pt>
                <c:pt idx="67">
                  <c:v>7.6562827865906055E-3</c:v>
                </c:pt>
                <c:pt idx="68">
                  <c:v>6.7413665682685402E-3</c:v>
                </c:pt>
                <c:pt idx="69">
                  <c:v>5.919165934192611E-3</c:v>
                </c:pt>
                <c:pt idx="70">
                  <c:v>5.1834458670398159E-3</c:v>
                </c:pt>
                <c:pt idx="71">
                  <c:v>4.527740833334599E-3</c:v>
                </c:pt>
                <c:pt idx="72">
                  <c:v>3.9455336123216441E-3</c:v>
                </c:pt>
                <c:pt idx="73">
                  <c:v>3.4303970053389922E-3</c:v>
                </c:pt>
                <c:pt idx="74">
                  <c:v>2.9761027058026893E-3</c:v>
                </c:pt>
                <c:pt idx="75">
                  <c:v>2.5767017116355155E-3</c:v>
                </c:pt>
                <c:pt idx="76">
                  <c:v>2.2265805598286181E-3</c:v>
                </c:pt>
                <c:pt idx="77">
                  <c:v>1.9204974185752296E-3</c:v>
                </c:pt>
                <c:pt idx="78">
                  <c:v>1.6536017366799462E-3</c:v>
                </c:pt>
                <c:pt idx="79">
                  <c:v>1.4214407628897398E-3</c:v>
                </c:pt>
                <c:pt idx="80">
                  <c:v>1.219955840206607E-3</c:v>
                </c:pt>
                <c:pt idx="81">
                  <c:v>1.0454709748231861E-3</c:v>
                </c:pt>
                <c:pt idx="82">
                  <c:v>8.9467579200141155E-4</c:v>
                </c:pt>
                <c:pt idx="83">
                  <c:v>7.6460463243067283E-4</c:v>
                </c:pt>
                <c:pt idx="84">
                  <c:v>6.5261321847507453E-4</c:v>
                </c:pt>
                <c:pt idx="85">
                  <c:v>5.5635403307530357E-4</c:v>
                </c:pt>
                <c:pt idx="86">
                  <c:v>4.7375130531308781E-4</c:v>
                </c:pt>
                <c:pt idx="87">
                  <c:v>4.0297628447789994E-4</c:v>
                </c:pt>
                <c:pt idx="88">
                  <c:v>3.4242330647436402E-4</c:v>
                </c:pt>
                <c:pt idx="89">
                  <c:v>2.9068700947879067E-4</c:v>
                </c:pt>
                <c:pt idx="90">
                  <c:v>2.4654093646574838E-4</c:v>
                </c:pt>
                <c:pt idx="91">
                  <c:v>2.0891766706801016E-4</c:v>
                </c:pt>
                <c:pt idx="92">
                  <c:v>1.7689054678503215E-4</c:v>
                </c:pt>
                <c:pt idx="93">
                  <c:v>1.4965702460269928E-4</c:v>
                </c:pt>
                <c:pt idx="94">
                  <c:v>1.2652356769453E-4</c:v>
                </c:pt>
                <c:pt idx="95">
                  <c:v>1.0689209141923514E-4</c:v>
                </c:pt>
                <c:pt idx="96">
                  <c:v>9.0247822012969254E-5</c:v>
                </c:pt>
                <c:pt idx="97">
                  <c:v>7.61484962161178E-5</c:v>
                </c:pt>
                <c:pt idx="98">
                  <c:v>6.4214794892703572E-5</c:v>
                </c:pt>
                <c:pt idx="99">
                  <c:v>5.4121905088881696E-5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56-354A-A8D6-EFE532637855}"/>
            </c:ext>
          </c:extLst>
        </c:ser>
        <c:ser>
          <c:idx val="1"/>
          <c:order val="1"/>
          <c:tx>
            <c:strRef>
              <c:f>Greeks!$AC$3</c:f>
              <c:strCache>
                <c:ptCount val="1"/>
                <c:pt idx="0">
                  <c:v>Gamma 2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Greeks!$AA$4:$AA$103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Greeks!$AC$4:$AC$103</c:f>
              <c:numCache>
                <c:formatCode>0.000</c:formatCode>
                <c:ptCount val="100"/>
                <c:pt idx="0">
                  <c:v>0</c:v>
                </c:pt>
                <c:pt idx="1">
                  <c:v>2.2015830515472013E-249</c:v>
                </c:pt>
                <c:pt idx="2">
                  <c:v>1.1282555173657953E-190</c:v>
                </c:pt>
                <c:pt idx="3">
                  <c:v>7.8780728855697749E-154</c:v>
                </c:pt>
                <c:pt idx="4">
                  <c:v>5.3042940059855138E-128</c:v>
                </c:pt>
                <c:pt idx="5">
                  <c:v>1.1070971936549172E-108</c:v>
                </c:pt>
                <c:pt idx="6">
                  <c:v>1.340323559213491E-93</c:v>
                </c:pt>
                <c:pt idx="7">
                  <c:v>1.8444733596748125E-81</c:v>
                </c:pt>
                <c:pt idx="8">
                  <c:v>1.814448659654613E-71</c:v>
                </c:pt>
                <c:pt idx="9">
                  <c:v>4.2699635840682415E-63</c:v>
                </c:pt>
                <c:pt idx="10">
                  <c:v>5.5216439367268023E-56</c:v>
                </c:pt>
                <c:pt idx="11">
                  <c:v>7.1077395431820161E-50</c:v>
                </c:pt>
                <c:pt idx="12">
                  <c:v>1.4107731764612116E-44</c:v>
                </c:pt>
                <c:pt idx="13">
                  <c:v>6.0083856149135519E-40</c:v>
                </c:pt>
                <c:pt idx="14">
                  <c:v>7.084749880550786E-36</c:v>
                </c:pt>
                <c:pt idx="15">
                  <c:v>2.8254800859884921E-32</c:v>
                </c:pt>
                <c:pt idx="16">
                  <c:v>4.4711076641916165E-29</c:v>
                </c:pt>
                <c:pt idx="17">
                  <c:v>3.1943595819862064E-26</c:v>
                </c:pt>
                <c:pt idx="18">
                  <c:v>1.1452812331832942E-23</c:v>
                </c:pt>
                <c:pt idx="19">
                  <c:v>2.248993631241642E-21</c:v>
                </c:pt>
                <c:pt idx="20">
                  <c:v>2.602224968900353E-19</c:v>
                </c:pt>
                <c:pt idx="21">
                  <c:v>1.8867692254086348E-17</c:v>
                </c:pt>
                <c:pt idx="22">
                  <c:v>9.0326162403347945E-16</c:v>
                </c:pt>
                <c:pt idx="23">
                  <c:v>2.9856901239225182E-14</c:v>
                </c:pt>
                <c:pt idx="24">
                  <c:v>7.0814746502756357E-13</c:v>
                </c:pt>
                <c:pt idx="25">
                  <c:v>1.2460049272694384E-11</c:v>
                </c:pt>
                <c:pt idx="26">
                  <c:v>1.6742845823552333E-10</c:v>
                </c:pt>
                <c:pt idx="27">
                  <c:v>1.7622739246465666E-9</c:v>
                </c:pt>
                <c:pt idx="28">
                  <c:v>1.4857305425663896E-8</c:v>
                </c:pt>
                <c:pt idx="29">
                  <c:v>1.0232504390014957E-7</c:v>
                </c:pt>
                <c:pt idx="30">
                  <c:v>5.8584148624297447E-7</c:v>
                </c:pt>
                <c:pt idx="31">
                  <c:v>2.8319109046085649E-6</c:v>
                </c:pt>
                <c:pt idx="32">
                  <c:v>1.1719323606393727E-5</c:v>
                </c:pt>
                <c:pt idx="33">
                  <c:v>4.2038151760761841E-5</c:v>
                </c:pt>
                <c:pt idx="34">
                  <c:v>1.3217524858465658E-4</c:v>
                </c:pt>
                <c:pt idx="35">
                  <c:v>3.6795134205995869E-4</c:v>
                </c:pt>
                <c:pt idx="36">
                  <c:v>9.1519097349847104E-4</c:v>
                </c:pt>
                <c:pt idx="37">
                  <c:v>2.0506444051477195E-3</c:v>
                </c:pt>
                <c:pt idx="38">
                  <c:v>4.170366065687027E-3</c:v>
                </c:pt>
                <c:pt idx="39">
                  <c:v>7.7503220872848968E-3</c:v>
                </c:pt>
                <c:pt idx="40">
                  <c:v>1.3244157830304533E-2</c:v>
                </c:pt>
                <c:pt idx="41">
                  <c:v>2.0929257437109744E-2</c:v>
                </c:pt>
                <c:pt idx="42">
                  <c:v>3.0744464231511736E-2</c:v>
                </c:pt>
                <c:pt idx="43">
                  <c:v>4.2182920211730042E-2</c:v>
                </c:pt>
                <c:pt idx="44">
                  <c:v>5.4296124572011682E-2</c:v>
                </c:pt>
                <c:pt idx="45">
                  <c:v>6.5829227973366308E-2</c:v>
                </c:pt>
                <c:pt idx="46">
                  <c:v>7.545805780799017E-2</c:v>
                </c:pt>
                <c:pt idx="47">
                  <c:v>8.2058850567938352E-2</c:v>
                </c:pt>
                <c:pt idx="48">
                  <c:v>8.4930260474727598E-2</c:v>
                </c:pt>
                <c:pt idx="49">
                  <c:v>8.3907237146628733E-2</c:v>
                </c:pt>
                <c:pt idx="50">
                  <c:v>7.9346279901690797E-2</c:v>
                </c:pt>
                <c:pt idx="51">
                  <c:v>7.2002868260363048E-2</c:v>
                </c:pt>
                <c:pt idx="52">
                  <c:v>6.2848935066906961E-2</c:v>
                </c:pt>
                <c:pt idx="53">
                  <c:v>5.2884600740569943E-2</c:v>
                </c:pt>
                <c:pt idx="54">
                  <c:v>4.2987019806474507E-2</c:v>
                </c:pt>
                <c:pt idx="55">
                  <c:v>3.3818668458976978E-2</c:v>
                </c:pt>
                <c:pt idx="56">
                  <c:v>2.5796834107933684E-2</c:v>
                </c:pt>
                <c:pt idx="57">
                  <c:v>1.9111575487593662E-2</c:v>
                </c:pt>
                <c:pt idx="58">
                  <c:v>1.3773041267731614E-2</c:v>
                </c:pt>
                <c:pt idx="59">
                  <c:v>9.6695625704374642E-3</c:v>
                </c:pt>
                <c:pt idx="60">
                  <c:v>6.6225956727689033E-3</c:v>
                </c:pt>
                <c:pt idx="61">
                  <c:v>4.4305569153503263E-3</c:v>
                </c:pt>
                <c:pt idx="62">
                  <c:v>2.8988610809400732E-3</c:v>
                </c:pt>
                <c:pt idx="63">
                  <c:v>1.8570961606520419E-3</c:v>
                </c:pt>
                <c:pt idx="64">
                  <c:v>1.1661354316605632E-3</c:v>
                </c:pt>
                <c:pt idx="65">
                  <c:v>7.1847848373449217E-4</c:v>
                </c:pt>
                <c:pt idx="66">
                  <c:v>4.3475644725907939E-4</c:v>
                </c:pt>
                <c:pt idx="67">
                  <c:v>2.5860657997997088E-4</c:v>
                </c:pt>
                <c:pt idx="68">
                  <c:v>1.5134435906441986E-4</c:v>
                </c:pt>
                <c:pt idx="69">
                  <c:v>8.7212234796221953E-5</c:v>
                </c:pt>
                <c:pt idx="70">
                  <c:v>4.9522819205598483E-5</c:v>
                </c:pt>
                <c:pt idx="71">
                  <c:v>2.7730931098402217E-5</c:v>
                </c:pt>
                <c:pt idx="72">
                  <c:v>1.5323301234480924E-5</c:v>
                </c:pt>
                <c:pt idx="73">
                  <c:v>8.3608609692997548E-6</c:v>
                </c:pt>
                <c:pt idx="74">
                  <c:v>4.5074169246720184E-6</c:v>
                </c:pt>
                <c:pt idx="75">
                  <c:v>2.402348680847245E-6</c:v>
                </c:pt>
                <c:pt idx="76">
                  <c:v>1.2665330132330551E-6</c:v>
                </c:pt>
                <c:pt idx="77">
                  <c:v>6.6084191053759188E-7</c:v>
                </c:pt>
                <c:pt idx="78">
                  <c:v>3.4142572263727276E-7</c:v>
                </c:pt>
                <c:pt idx="79">
                  <c:v>1.7475062923342487E-7</c:v>
                </c:pt>
                <c:pt idx="80">
                  <c:v>8.8646429436290795E-8</c:v>
                </c:pt>
                <c:pt idx="81">
                  <c:v>4.4587214116865608E-8</c:v>
                </c:pt>
                <c:pt idx="82">
                  <c:v>2.2245574897180732E-8</c:v>
                </c:pt>
                <c:pt idx="83">
                  <c:v>1.1013624653781189E-8</c:v>
                </c:pt>
                <c:pt idx="84">
                  <c:v>5.4129171984431893E-9</c:v>
                </c:pt>
                <c:pt idx="85">
                  <c:v>2.6418036978625695E-9</c:v>
                </c:pt>
                <c:pt idx="86">
                  <c:v>1.2808084413514108E-9</c:v>
                </c:pt>
                <c:pt idx="87">
                  <c:v>6.1705229271218463E-10</c:v>
                </c:pt>
                <c:pt idx="88">
                  <c:v>2.9549299764428237E-10</c:v>
                </c:pt>
                <c:pt idx="89">
                  <c:v>1.4069772773874115E-10</c:v>
                </c:pt>
                <c:pt idx="90">
                  <c:v>6.6628976341134801E-11</c:v>
                </c:pt>
                <c:pt idx="91">
                  <c:v>3.1390008678225766E-11</c:v>
                </c:pt>
                <c:pt idx="92">
                  <c:v>1.4715766507216299E-11</c:v>
                </c:pt>
                <c:pt idx="93">
                  <c:v>6.8666282205628093E-12</c:v>
                </c:pt>
                <c:pt idx="94">
                  <c:v>3.1898831307923213E-12</c:v>
                </c:pt>
                <c:pt idx="95">
                  <c:v>1.4756168248758651E-12</c:v>
                </c:pt>
                <c:pt idx="96">
                  <c:v>6.798808796048425E-13</c:v>
                </c:pt>
                <c:pt idx="97">
                  <c:v>3.1206229544446534E-13</c:v>
                </c:pt>
                <c:pt idx="98">
                  <c:v>1.4271974829800155E-13</c:v>
                </c:pt>
                <c:pt idx="99">
                  <c:v>6.504929718553417E-14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CD-804C-AF20-9454F7AF4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65519"/>
        <c:axId val="209082271"/>
      </c:lineChart>
      <c:catAx>
        <c:axId val="12565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US"/>
          </a:p>
        </c:txPr>
        <c:crossAx val="209082271"/>
        <c:crosses val="autoZero"/>
        <c:auto val="1"/>
        <c:lblAlgn val="ctr"/>
        <c:lblOffset val="100"/>
        <c:noMultiLvlLbl val="0"/>
      </c:catAx>
      <c:valAx>
        <c:axId val="209082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US"/>
          </a:p>
        </c:txPr>
        <c:crossAx val="125655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Theta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Greeks!$D$3</c:f>
              <c:strCache>
                <c:ptCount val="1"/>
                <c:pt idx="0">
                  <c:v>Theta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Greeks!$AA$4:$AA$103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Greeks!$D$4:$D$103</c:f>
              <c:numCache>
                <c:formatCode>0.000</c:formatCode>
                <c:ptCount val="100"/>
                <c:pt idx="0">
                  <c:v>-5.4444101291714866E-77</c:v>
                </c:pt>
                <c:pt idx="1">
                  <c:v>-4.6813325860617134E-53</c:v>
                </c:pt>
                <c:pt idx="2">
                  <c:v>-3.3226857339842971E-41</c:v>
                </c:pt>
                <c:pt idx="3">
                  <c:v>-9.2829686769994333E-34</c:v>
                </c:pt>
                <c:pt idx="4">
                  <c:v>-1.5606401836067888E-28</c:v>
                </c:pt>
                <c:pt idx="5">
                  <c:v>-1.2769315370389363E-24</c:v>
                </c:pt>
                <c:pt idx="6">
                  <c:v>-1.4592091741274194E-21</c:v>
                </c:pt>
                <c:pt idx="7">
                  <c:v>-4.2425225979859565E-19</c:v>
                </c:pt>
                <c:pt idx="8">
                  <c:v>-4.546897300581775E-17</c:v>
                </c:pt>
                <c:pt idx="9">
                  <c:v>-2.2919577893456346E-15</c:v>
                </c:pt>
                <c:pt idx="10">
                  <c:v>-6.4264232257074841E-14</c:v>
                </c:pt>
                <c:pt idx="11">
                  <c:v>-1.1300192262966194E-12</c:v>
                </c:pt>
                <c:pt idx="12">
                  <c:v>-1.3612029082452367E-11</c:v>
                </c:pt>
                <c:pt idx="13">
                  <c:v>-1.2007729867827752E-10</c:v>
                </c:pt>
                <c:pt idx="14">
                  <c:v>-8.1669204429611077E-10</c:v>
                </c:pt>
                <c:pt idx="15">
                  <c:v>-4.4594292660569057E-9</c:v>
                </c:pt>
                <c:pt idx="16">
                  <c:v>-2.0190136284255947E-8</c:v>
                </c:pt>
                <c:pt idx="17">
                  <c:v>-7.7799336891052107E-8</c:v>
                </c:pt>
                <c:pt idx="18">
                  <c:v>-2.6065844773883818E-7</c:v>
                </c:pt>
                <c:pt idx="19">
                  <c:v>-7.7287402363160361E-7</c:v>
                </c:pt>
                <c:pt idx="20">
                  <c:v>-2.0582808010472144E-6</c:v>
                </c:pt>
                <c:pt idx="21">
                  <c:v>-4.9850325962724073E-6</c:v>
                </c:pt>
                <c:pt idx="22">
                  <c:v>-1.1096655412366173E-5</c:v>
                </c:pt>
                <c:pt idx="23">
                  <c:v>-2.2908963414913711E-5</c:v>
                </c:pt>
                <c:pt idx="24">
                  <c:v>-4.420686148069638E-5</c:v>
                </c:pt>
                <c:pt idx="25">
                  <c:v>-8.0273635974403764E-5</c:v>
                </c:pt>
                <c:pt idx="26">
                  <c:v>-1.379762360827172E-4</c:v>
                </c:pt>
                <c:pt idx="27">
                  <c:v>-2.2563889473900989E-4</c:v>
                </c:pt>
                <c:pt idx="28">
                  <c:v>-3.5266479662568294E-4</c:v>
                </c:pt>
                <c:pt idx="29">
                  <c:v>-5.2890644731907999E-4</c:v>
                </c:pt>
                <c:pt idx="30">
                  <c:v>-7.638310219447111E-4</c:v>
                </c:pt>
                <c:pt idx="31">
                  <c:v>-1.0655670868565813E-3</c:v>
                </c:pt>
                <c:pt idx="32">
                  <c:v>-1.439945083580171E-3</c:v>
                </c:pt>
                <c:pt idx="33">
                  <c:v>-1.8896508779893111E-3</c:v>
                </c:pt>
                <c:pt idx="34">
                  <c:v>-2.4135989993990105E-3</c:v>
                </c:pt>
                <c:pt idx="35">
                  <c:v>-3.0066034171986875E-3</c:v>
                </c:pt>
                <c:pt idx="36">
                  <c:v>-3.6593849949049803E-3</c:v>
                </c:pt>
                <c:pt idx="37">
                  <c:v>-4.3589132835264929E-3</c:v>
                </c:pt>
                <c:pt idx="38">
                  <c:v>-5.0890426662315059E-3</c:v>
                </c:pt>
                <c:pt idx="39">
                  <c:v>-5.8313739746974434E-3</c:v>
                </c:pt>
                <c:pt idx="40">
                  <c:v>-6.5662552938939509E-3</c:v>
                </c:pt>
                <c:pt idx="41">
                  <c:v>-7.2738302866667617E-3</c:v>
                </c:pt>
                <c:pt idx="42">
                  <c:v>-7.9350477243306707E-3</c:v>
                </c:pt>
                <c:pt idx="43">
                  <c:v>-8.5325595187648907E-3</c:v>
                </c:pt>
                <c:pt idx="44">
                  <c:v>-9.0514533646887142E-3</c:v>
                </c:pt>
                <c:pt idx="45">
                  <c:v>-9.4797870650134512E-3</c:v>
                </c:pt>
                <c:pt idx="46">
                  <c:v>-9.8089120844438195E-3</c:v>
                </c:pt>
                <c:pt idx="47">
                  <c:v>-1.003359186456187E-2</c:v>
                </c:pt>
                <c:pt idx="48">
                  <c:v>-1.01519346797378E-2</c:v>
                </c:pt>
                <c:pt idx="49">
                  <c:v>-1.0165170756277009E-2</c:v>
                </c:pt>
                <c:pt idx="50">
                  <c:v>-1.0077309035741265E-2</c:v>
                </c:pt>
                <c:pt idx="51">
                  <c:v>-9.894710779876489E-3</c:v>
                </c:pt>
                <c:pt idx="52">
                  <c:v>-9.6256158939747264E-3</c:v>
                </c:pt>
                <c:pt idx="53">
                  <c:v>-9.2796542102702786E-3</c:v>
                </c:pt>
                <c:pt idx="54">
                  <c:v>-8.8673688476469305E-3</c:v>
                </c:pt>
                <c:pt idx="55">
                  <c:v>-8.3997728935932062E-3</c:v>
                </c:pt>
                <c:pt idx="56">
                  <c:v>-7.8879546557875102E-3</c:v>
                </c:pt>
                <c:pt idx="57">
                  <c:v>-7.3427410713869275E-3</c:v>
                </c:pt>
                <c:pt idx="58">
                  <c:v>-6.7744238602757767E-3</c:v>
                </c:pt>
                <c:pt idx="59">
                  <c:v>-6.1925488477133049E-3</c:v>
                </c:pt>
                <c:pt idx="60">
                  <c:v>-5.6057656335223634E-3</c:v>
                </c:pt>
                <c:pt idx="61">
                  <c:v>-5.0217324347416655E-3</c:v>
                </c:pt>
                <c:pt idx="62">
                  <c:v>-4.4470694018617493E-3</c:v>
                </c:pt>
                <c:pt idx="63">
                  <c:v>-3.8873528935689347E-3</c:v>
                </c:pt>
                <c:pt idx="64">
                  <c:v>-3.3471429615202432E-3</c:v>
                </c:pt>
                <c:pt idx="65">
                  <c:v>-2.830036512009952E-3</c:v>
                </c:pt>
                <c:pt idx="66">
                  <c:v>-2.3387391496621857E-3</c:v>
                </c:pt>
                <c:pt idx="67">
                  <c:v>-1.8751494576576659E-3</c:v>
                </c:pt>
                <c:pt idx="68">
                  <c:v>-1.4404503352053947E-3</c:v>
                </c:pt>
                <c:pt idx="69">
                  <c:v>-1.0352029204864766E-3</c:v>
                </c:pt>
                <c:pt idx="70">
                  <c:v>-6.5943951884505432E-4</c:v>
                </c:pt>
                <c:pt idx="71">
                  <c:v>-3.1275279087598554E-4</c:v>
                </c:pt>
                <c:pt idx="72">
                  <c:v>5.620793148030603E-6</c:v>
                </c:pt>
                <c:pt idx="73">
                  <c:v>2.9672457202109726E-4</c:v>
                </c:pt>
                <c:pt idx="74">
                  <c:v>5.6181317419050207E-4</c:v>
                </c:pt>
                <c:pt idx="75">
                  <c:v>8.0229219982756912E-4</c:v>
                </c:pt>
                <c:pt idx="76">
                  <c:v>1.0196660906378126E-3</c:v>
                </c:pt>
                <c:pt idx="77">
                  <c:v>1.2154939066881946E-3</c:v>
                </c:pt>
                <c:pt idx="78">
                  <c:v>1.3913525380678472E-3</c:v>
                </c:pt>
                <c:pt idx="79">
                  <c:v>1.5488067517532948E-3</c:v>
                </c:pt>
                <c:pt idx="80">
                  <c:v>1.6893853992895195E-3</c:v>
                </c:pt>
                <c:pt idx="81">
                  <c:v>1.8145630781940768E-3</c:v>
                </c:pt>
                <c:pt idx="82">
                  <c:v>1.9257465397418661E-3</c:v>
                </c:pt>
                <c:pt idx="83">
                  <c:v>2.0242651595958768E-3</c:v>
                </c:pt>
                <c:pt idx="84">
                  <c:v>2.1113648284788204E-3</c:v>
                </c:pt>
                <c:pt idx="85">
                  <c:v>2.1882046718313081E-3</c:v>
                </c:pt>
                <c:pt idx="86">
                  <c:v>2.2558560654279665E-3</c:v>
                </c:pt>
                <c:pt idx="87">
                  <c:v>2.3153034745157343E-3</c:v>
                </c:pt>
                <c:pt idx="88">
                  <c:v>2.3674467043979272E-3</c:v>
                </c:pt>
                <c:pt idx="89">
                  <c:v>2.4131042084832958E-3</c:v>
                </c:pt>
                <c:pt idx="90">
                  <c:v>2.453017154258893E-3</c:v>
                </c:pt>
                <c:pt idx="91">
                  <c:v>2.4878539975524477E-3</c:v>
                </c:pt>
                <c:pt idx="92">
                  <c:v>2.5182153603523732E-3</c:v>
                </c:pt>
                <c:pt idx="93">
                  <c:v>2.5446390471897049E-3</c:v>
                </c:pt>
                <c:pt idx="94">
                  <c:v>2.5676050697227499E-3</c:v>
                </c:pt>
                <c:pt idx="95">
                  <c:v>2.5875405789301332E-3</c:v>
                </c:pt>
                <c:pt idx="96">
                  <c:v>2.6048246295464817E-3</c:v>
                </c:pt>
                <c:pt idx="97">
                  <c:v>2.6197927224666682E-3</c:v>
                </c:pt>
                <c:pt idx="98">
                  <c:v>2.6327410882302621E-3</c:v>
                </c:pt>
                <c:pt idx="99">
                  <c:v>2.6439306888151764E-3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67-534F-AE5D-ACF87963D933}"/>
            </c:ext>
          </c:extLst>
        </c:ser>
        <c:ser>
          <c:idx val="1"/>
          <c:order val="1"/>
          <c:tx>
            <c:strRef>
              <c:f>Greeks!$AD$3</c:f>
              <c:strCache>
                <c:ptCount val="1"/>
                <c:pt idx="0">
                  <c:v>Theta 2</c:v>
                </c:pt>
              </c:strCache>
            </c:strRef>
          </c:tx>
          <c:spPr>
            <a:ln w="28575" cap="rnd" cmpd="sng">
              <a:solidFill>
                <a:schemeClr val="accent4">
                  <a:lumMod val="75000"/>
                </a:schemeClr>
              </a:solidFill>
              <a:prstDash val="dash"/>
              <a:round/>
              <a:tailEnd type="none"/>
            </a:ln>
            <a:effectLst/>
          </c:spPr>
          <c:marker>
            <c:symbol val="none"/>
          </c:marker>
          <c:cat>
            <c:numRef>
              <c:f>Greeks!$AA$4:$AA$103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Greeks!$AD$4:$AD$103</c:f>
              <c:numCache>
                <c:formatCode>0.000</c:formatCode>
                <c:ptCount val="100"/>
                <c:pt idx="0">
                  <c:v>-</c:v>
                </c:pt>
                <c:pt idx="1">
                  <c:v>-1.0843652212157077E-252</c:v>
                </c:pt>
                <c:pt idx="2">
                  <c:v>-1.2501236458609161E-193</c:v>
                </c:pt>
                <c:pt idx="3">
                  <c:v>-1.5515755760075647E-156</c:v>
                </c:pt>
                <c:pt idx="4">
                  <c:v>-1.6320529138724074E-130</c:v>
                </c:pt>
                <c:pt idx="5">
                  <c:v>-4.9044509905834065E-111</c:v>
                </c:pt>
                <c:pt idx="6">
                  <c:v>-8.0806088488776182E-96</c:v>
                </c:pt>
                <c:pt idx="7">
                  <c:v>-1.4522013747220461E-83</c:v>
                </c:pt>
                <c:pt idx="8">
                  <c:v>-1.8077553805867997E-73</c:v>
                </c:pt>
                <c:pt idx="9">
                  <c:v>-5.2513200730179073E-65</c:v>
                </c:pt>
                <c:pt idx="10">
                  <c:v>-8.2154418239890096E-58</c:v>
                </c:pt>
                <c:pt idx="11">
                  <c:v>-1.2583518854139339E-51</c:v>
                </c:pt>
                <c:pt idx="12">
                  <c:v>-2.9307631237954041E-46</c:v>
                </c:pt>
                <c:pt idx="13">
                  <c:v>-1.4473608450554334E-41</c:v>
                </c:pt>
                <c:pt idx="14">
                  <c:v>-1.9588139485168998E-37</c:v>
                </c:pt>
                <c:pt idx="15">
                  <c:v>-8.8866537855329428E-34</c:v>
                </c:pt>
                <c:pt idx="16">
                  <c:v>-1.587213054993874E-30</c:v>
                </c:pt>
                <c:pt idx="17">
                  <c:v>-1.2710515911557181E-27</c:v>
                </c:pt>
                <c:pt idx="18">
                  <c:v>-5.0764635114443138E-25</c:v>
                </c:pt>
                <c:pt idx="19">
                  <c:v>-1.104314173780524E-22</c:v>
                </c:pt>
                <c:pt idx="20">
                  <c:v>-1.4083959474997684E-20</c:v>
                </c:pt>
                <c:pt idx="21">
                  <c:v>-1.1204595459788253E-18</c:v>
                </c:pt>
                <c:pt idx="22">
                  <c:v>-5.8611801196603855E-17</c:v>
                </c:pt>
                <c:pt idx="23">
                  <c:v>-2.1089155167619184E-15</c:v>
                </c:pt>
                <c:pt idx="24">
                  <c:v>-5.425793630518735E-14</c:v>
                </c:pt>
                <c:pt idx="25">
                  <c:v>-1.0322479692584045E-12</c:v>
                </c:pt>
                <c:pt idx="26">
                  <c:v>-1.495277241003232E-11</c:v>
                </c:pt>
                <c:pt idx="27">
                  <c:v>-1.6919585186587879E-10</c:v>
                </c:pt>
                <c:pt idx="28">
                  <c:v>-1.52953017070822E-9</c:v>
                </c:pt>
                <c:pt idx="29">
                  <c:v>-1.1268156933048715E-8</c:v>
                </c:pt>
                <c:pt idx="30">
                  <c:v>-6.885269900508693E-8</c:v>
                </c:pt>
                <c:pt idx="31">
                  <c:v>-3.5445911685877937E-7</c:v>
                </c:pt>
                <c:pt idx="32">
                  <c:v>-1.5590620772372213E-6</c:v>
                </c:pt>
                <c:pt idx="33">
                  <c:v>-5.9327296989178694E-6</c:v>
                </c:pt>
                <c:pt idx="34">
                  <c:v>-1.9752818751152054E-5</c:v>
                </c:pt>
                <c:pt idx="35">
                  <c:v>-5.8128963781021546E-5</c:v>
                </c:pt>
                <c:pt idx="36">
                  <c:v>-1.5258969218942786E-4</c:v>
                </c:pt>
                <c:pt idx="37">
                  <c:v>-3.6027276573448116E-4</c:v>
                </c:pt>
                <c:pt idx="38">
                  <c:v>-7.7087319295358436E-4</c:v>
                </c:pt>
                <c:pt idx="39">
                  <c:v>-1.5050650587447388E-3</c:v>
                </c:pt>
                <c:pt idx="40">
                  <c:v>-2.6981089085712571E-3</c:v>
                </c:pt>
                <c:pt idx="41">
                  <c:v>-4.4665198955080683E-3</c:v>
                </c:pt>
                <c:pt idx="42">
                  <c:v>-6.8634788897293927E-3</c:v>
                </c:pt>
                <c:pt idx="43">
                  <c:v>-9.8367089793445894E-3</c:v>
                </c:pt>
                <c:pt idx="44">
                  <c:v>-1.3206054770117052E-2</c:v>
                </c:pt>
                <c:pt idx="45">
                  <c:v>-1.6673872045967611E-2</c:v>
                </c:pt>
                <c:pt idx="46">
                  <c:v>-1.9870416371116219E-2</c:v>
                </c:pt>
                <c:pt idx="47">
                  <c:v>-2.2423421891163909E-2</c:v>
                </c:pt>
                <c:pt idx="48">
                  <c:v>-2.4031962994529501E-2</c:v>
                </c:pt>
                <c:pt idx="49">
                  <c:v>-2.4523435650723503E-2</c:v>
                </c:pt>
                <c:pt idx="50">
                  <c:v>-2.3879092954685259E-2</c:v>
                </c:pt>
                <c:pt idx="51">
                  <c:v>-2.2224550921697291E-2</c:v>
                </c:pt>
                <c:pt idx="52">
                  <c:v>-1.9792263213050061E-2</c:v>
                </c:pt>
                <c:pt idx="53">
                  <c:v>-1.6869432213431984E-2</c:v>
                </c:pt>
                <c:pt idx="54">
                  <c:v>-1.3745863500454278E-2</c:v>
                </c:pt>
                <c:pt idx="55">
                  <c:v>-1.0672881182990424E-2</c:v>
                </c:pt>
                <c:pt idx="56">
                  <c:v>-7.8388722773948486E-3</c:v>
                </c:pt>
                <c:pt idx="57">
                  <c:v>-5.3616235317124686E-3</c:v>
                </c:pt>
                <c:pt idx="58">
                  <c:v>-3.293860963603755E-3</c:v>
                </c:pt>
                <c:pt idx="59">
                  <c:v>-1.6367759284277247E-3</c:v>
                </c:pt>
                <c:pt idx="60">
                  <c:v>-3.5649148017994942E-4</c:v>
                </c:pt>
                <c:pt idx="61">
                  <c:v>6.0032911921068064E-4</c:v>
                </c:pt>
                <c:pt idx="62">
                  <c:v>1.293933619669254E-3</c:v>
                </c:pt>
                <c:pt idx="63">
                  <c:v>1.7827707747765959E-3</c:v>
                </c:pt>
                <c:pt idx="64">
                  <c:v>2.1184035613929643E-3</c:v>
                </c:pt>
                <c:pt idx="65">
                  <c:v>2.3433003043668642E-3</c:v>
                </c:pt>
                <c:pt idx="66">
                  <c:v>2.4906015980351286E-3</c:v>
                </c:pt>
                <c:pt idx="67">
                  <c:v>2.5850405919069803E-3</c:v>
                </c:pt>
                <c:pt idx="68">
                  <c:v>2.6443845782216308E-3</c:v>
                </c:pt>
                <c:pt idx="69">
                  <c:v>2.6809771618310934E-3</c:v>
                </c:pt>
                <c:pt idx="70">
                  <c:v>2.703142225765513E-3</c:v>
                </c:pt>
                <c:pt idx="71">
                  <c:v>2.7163441321713731E-3</c:v>
                </c:pt>
                <c:pt idx="72">
                  <c:v>2.7240833364179412E-3</c:v>
                </c:pt>
                <c:pt idx="73">
                  <c:v>2.7285524348105517E-3</c:v>
                </c:pt>
                <c:pt idx="74">
                  <c:v>2.7310966518348228E-3</c:v>
                </c:pt>
                <c:pt idx="75">
                  <c:v>2.7325256214199385E-3</c:v>
                </c:pt>
                <c:pt idx="76">
                  <c:v>2.7333179947101678E-3</c:v>
                </c:pt>
                <c:pt idx="77">
                  <c:v>2.7337520643667384E-3</c:v>
                </c:pt>
                <c:pt idx="78">
                  <c:v>2.7339871247730393E-3</c:v>
                </c:pt>
                <c:pt idx="79">
                  <c:v>2.7341130295074653E-3</c:v>
                </c:pt>
                <c:pt idx="80">
                  <c:v>2.7341797693009283E-3</c:v>
                </c:pt>
                <c:pt idx="81">
                  <c:v>2.734214798669048E-3</c:v>
                </c:pt>
                <c:pt idx="82">
                  <c:v>2.7342330123008357E-3</c:v>
                </c:pt>
                <c:pt idx="83">
                  <c:v>2.7342423982538743E-3</c:v>
                </c:pt>
                <c:pt idx="84">
                  <c:v>2.7342471941300649E-3</c:v>
                </c:pt>
                <c:pt idx="85">
                  <c:v>2.734249624909963E-3</c:v>
                </c:pt>
                <c:pt idx="86">
                  <c:v>2.7342508475046903E-3</c:v>
                </c:pt>
                <c:pt idx="87">
                  <c:v>2.7342514579420827E-3</c:v>
                </c:pt>
                <c:pt idx="88">
                  <c:v>2.734251760616647E-3</c:v>
                </c:pt>
                <c:pt idx="89">
                  <c:v>2.7342519097016019E-3</c:v>
                </c:pt>
                <c:pt idx="90">
                  <c:v>2.7342519826733269E-3</c:v>
                </c:pt>
                <c:pt idx="91">
                  <c:v>2.734252018176851E-3</c:v>
                </c:pt>
                <c:pt idx="92">
                  <c:v>2.7342520353524236E-3</c:v>
                </c:pt>
                <c:pt idx="93">
                  <c:v>2.7342520436165101E-3</c:v>
                </c:pt>
                <c:pt idx="94">
                  <c:v>2.7342520475723414E-3</c:v>
                </c:pt>
                <c:pt idx="95">
                  <c:v>2.734252049456641E-3</c:v>
                </c:pt>
                <c:pt idx="96">
                  <c:v>2.7342520503500218E-3</c:v>
                </c:pt>
                <c:pt idx="97">
                  <c:v>2.7342520507717162E-3</c:v>
                </c:pt>
                <c:pt idx="98">
                  <c:v>2.7342520509699292E-3</c:v>
                </c:pt>
                <c:pt idx="99">
                  <c:v>2.7342520510627243E-3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37-5446-838B-168DA2C46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5318656"/>
        <c:axId val="2075742688"/>
      </c:lineChart>
      <c:catAx>
        <c:axId val="2075318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US"/>
          </a:p>
        </c:txPr>
        <c:crossAx val="2075742688"/>
        <c:crosses val="autoZero"/>
        <c:auto val="1"/>
        <c:lblAlgn val="ctr"/>
        <c:lblOffset val="100"/>
        <c:noMultiLvlLbl val="0"/>
      </c:catAx>
      <c:valAx>
        <c:axId val="207574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US"/>
          </a:p>
        </c:txPr>
        <c:crossAx val="2075318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Vega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Greeks!$E$3</c:f>
              <c:strCache>
                <c:ptCount val="1"/>
                <c:pt idx="0">
                  <c:v>Vega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Greeks!$AA$4:$AA$103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Greeks!$E$4:$E$103</c:f>
              <c:numCache>
                <c:formatCode>0.000</c:formatCode>
                <c:ptCount val="100"/>
                <c:pt idx="0">
                  <c:v>1.1701380807637789E-74</c:v>
                </c:pt>
                <c:pt idx="1">
                  <c:v>1.3706269446692135E-50</c:v>
                </c:pt>
                <c:pt idx="2">
                  <c:v>1.1659620632703588E-38</c:v>
                </c:pt>
                <c:pt idx="3">
                  <c:v>3.7047159189723955E-31</c:v>
                </c:pt>
                <c:pt idx="4">
                  <c:v>6.88283107417234E-26</c:v>
                </c:pt>
                <c:pt idx="5">
                  <c:v>6.111372264821695E-22</c:v>
                </c:pt>
                <c:pt idx="6">
                  <c:v>7.4843386153273122E-19</c:v>
                </c:pt>
                <c:pt idx="7">
                  <c:v>2.3107025947864131E-16</c:v>
                </c:pt>
                <c:pt idx="8">
                  <c:v>2.6114469155465014E-14</c:v>
                </c:pt>
                <c:pt idx="9">
                  <c:v>1.3804640124462935E-12</c:v>
                </c:pt>
                <c:pt idx="10">
                  <c:v>4.0411608058516828E-11</c:v>
                </c:pt>
                <c:pt idx="11">
                  <c:v>7.3917377797581349E-10</c:v>
                </c:pt>
                <c:pt idx="12">
                  <c:v>9.233604523283483E-9</c:v>
                </c:pt>
                <c:pt idx="13">
                  <c:v>8.4248411194378917E-8</c:v>
                </c:pt>
                <c:pt idx="14">
                  <c:v>5.9133806522998392E-7</c:v>
                </c:pt>
                <c:pt idx="15">
                  <c:v>3.3257276934234963E-6</c:v>
                </c:pt>
                <c:pt idx="16">
                  <c:v>1.5482299466522393E-5</c:v>
                </c:pt>
                <c:pt idx="17">
                  <c:v>6.1250224903765341E-5</c:v>
                </c:pt>
                <c:pt idx="18">
                  <c:v>2.1040684215597024E-4</c:v>
                </c:pt>
                <c:pt idx="19">
                  <c:v>6.3890540523511982E-4</c:v>
                </c:pt>
                <c:pt idx="20">
                  <c:v>1.7406433857864881E-3</c:v>
                </c:pt>
                <c:pt idx="21">
                  <c:v>4.3085870473763121E-3</c:v>
                </c:pt>
                <c:pt idx="22">
                  <c:v>9.7936818579469637E-3</c:v>
                </c:pt>
                <c:pt idx="23">
                  <c:v>2.0630410013336022E-2</c:v>
                </c:pt>
                <c:pt idx="24">
                  <c:v>4.0591428816661279E-2</c:v>
                </c:pt>
                <c:pt idx="25">
                  <c:v>7.510735101223838E-2</c:v>
                </c:pt>
                <c:pt idx="26">
                  <c:v>0.13147024105625893</c:v>
                </c:pt>
                <c:pt idx="27">
                  <c:v>0.21883838697733432</c:v>
                </c:pt>
                <c:pt idx="28">
                  <c:v>0.34797880835483619</c:v>
                </c:pt>
                <c:pt idx="29">
                  <c:v>0.53072064438125965</c:v>
                </c:pt>
                <c:pt idx="30">
                  <c:v>0.77913985439507227</c:v>
                </c:pt>
                <c:pt idx="31">
                  <c:v>1.1045434786707948</c:v>
                </c:pt>
                <c:pt idx="32">
                  <c:v>1.5163599326473802</c:v>
                </c:pt>
                <c:pt idx="33">
                  <c:v>2.0210628666112895</c:v>
                </c:pt>
                <c:pt idx="34">
                  <c:v>2.6212565558750316</c:v>
                </c:pt>
                <c:pt idx="35">
                  <c:v>3.3150315617923245</c:v>
                </c:pt>
                <c:pt idx="36">
                  <c:v>4.0956651223269862</c:v>
                </c:pt>
                <c:pt idx="37">
                  <c:v>4.9516981540512903</c:v>
                </c:pt>
                <c:pt idx="38">
                  <c:v>5.8673771468658016</c:v>
                </c:pt>
                <c:pt idx="39">
                  <c:v>6.823410972384675</c:v>
                </c:pt>
                <c:pt idx="40">
                  <c:v>7.7979642269352372</c:v>
                </c:pt>
                <c:pt idx="41">
                  <c:v>8.7677924817375263</c:v>
                </c:pt>
                <c:pt idx="42">
                  <c:v>9.7094208769421524</c:v>
                </c:pt>
                <c:pt idx="43">
                  <c:v>10.600274337976703</c:v>
                </c:pt>
                <c:pt idx="44">
                  <c:v>11.419682682827984</c:v>
                </c:pt>
                <c:pt idx="45">
                  <c:v>12.149703922123489</c:v>
                </c:pt>
                <c:pt idx="46">
                  <c:v>12.775731077373704</c:v>
                </c:pt>
                <c:pt idx="47">
                  <c:v>13.28686923732112</c:v>
                </c:pt>
                <c:pt idx="48">
                  <c:v>13.676088371008934</c:v>
                </c:pt>
                <c:pt idx="49">
                  <c:v>13.940172376135919</c:v>
                </c:pt>
                <c:pt idx="50">
                  <c:v>14.079495403062905</c:v>
                </c:pt>
                <c:pt idx="51">
                  <c:v>14.097662668341052</c:v>
                </c:pt>
                <c:pt idx="52">
                  <c:v>14.001055186106903</c:v>
                </c:pt>
                <c:pt idx="53">
                  <c:v>13.798316794195941</c:v>
                </c:pt>
                <c:pt idx="54">
                  <c:v>13.499818350902434</c:v>
                </c:pt>
                <c:pt idx="55">
                  <c:v>13.117128854970218</c:v>
                </c:pt>
                <c:pt idx="56">
                  <c:v>12.662517252014853</c:v>
                </c:pt>
                <c:pt idx="57">
                  <c:v>12.148502470808481</c:v>
                </c:pt>
                <c:pt idx="58">
                  <c:v>11.587463274266609</c:v>
                </c:pt>
                <c:pt idx="59">
                  <c:v>10.991314157426851</c:v>
                </c:pt>
                <c:pt idx="60">
                  <c:v>10.371248988225721</c:v>
                </c:pt>
                <c:pt idx="61">
                  <c:v>9.7375504621919813</c:v>
                </c:pt>
                <c:pt idx="62">
                  <c:v>9.0994607351990435</c:v>
                </c:pt>
                <c:pt idx="63">
                  <c:v>8.4651067501024677</c:v>
                </c:pt>
                <c:pt idx="64">
                  <c:v>7.8414726822153051</c:v>
                </c:pt>
                <c:pt idx="65">
                  <c:v>7.2344114711353624</c:v>
                </c:pt>
                <c:pt idx="66">
                  <c:v>6.6486874509712726</c:v>
                </c:pt>
                <c:pt idx="67">
                  <c:v>6.0880425098853781</c:v>
                </c:pt>
                <c:pt idx="68">
                  <c:v>5.5552788868654925</c:v>
                </c:pt>
                <c:pt idx="69">
                  <c:v>5.0523525484088081</c:v>
                </c:pt>
                <c:pt idx="70">
                  <c:v>4.5804719978429098</c:v>
                </c:pt>
                <c:pt idx="71">
                  <c:v>4.1401982907704813</c:v>
                </c:pt>
                <c:pt idx="72">
                  <c:v>3.7315429138670662</c:v>
                </c:pt>
                <c:pt idx="73">
                  <c:v>3.3540609981308842</c:v>
                </c:pt>
                <c:pt idx="74">
                  <c:v>3.0069380613896142</c:v>
                </c:pt>
                <c:pt idx="75">
                  <c:v>2.689069098263527</c:v>
                </c:pt>
                <c:pt idx="76">
                  <c:v>2.399129356530981</c:v>
                </c:pt>
                <c:pt idx="77">
                  <c:v>2.1356365603135679</c:v>
                </c:pt>
                <c:pt idx="78">
                  <c:v>1.8970046699590835</c:v>
                </c:pt>
                <c:pt idx="79">
                  <c:v>1.6815895156131</c:v>
                </c:pt>
                <c:pt idx="80">
                  <c:v>1.4877268171057061</c:v>
                </c:pt>
                <c:pt idx="81">
                  <c:v>1.3137632181239201</c:v>
                </c:pt>
                <c:pt idx="82">
                  <c:v>1.1580810285423464</c:v>
                </c:pt>
                <c:pt idx="83">
                  <c:v>1.0191173953257417</c:v>
                </c:pt>
                <c:pt idx="84">
                  <c:v>0.89537861864483415</c:v>
                </c:pt>
                <c:pt idx="85">
                  <c:v>0.78545030364271584</c:v>
                </c:pt>
                <c:pt idx="86">
                  <c:v>0.68800399633728326</c:v>
                </c:pt>
                <c:pt idx="87">
                  <c:v>0.60180089996741892</c:v>
                </c:pt>
                <c:pt idx="88">
                  <c:v>0.52569321013074821</c:v>
                </c:pt>
                <c:pt idx="89">
                  <c:v>0.45862354679496947</c:v>
                </c:pt>
                <c:pt idx="90">
                  <c:v>0.39962290132469835</c:v>
                </c:pt>
                <c:pt idx="91">
                  <c:v>0.34780745896668019</c:v>
                </c:pt>
                <c:pt idx="92">
                  <c:v>0.30237460309775788</c:v>
                </c:pt>
                <c:pt idx="93">
                  <c:v>0.26259835780034774</c:v>
                </c:pt>
                <c:pt idx="94">
                  <c:v>0.22782448044697176</c:v>
                </c:pt>
                <c:pt idx="95">
                  <c:v>0.19746537611404036</c:v>
                </c:pt>
                <c:pt idx="96">
                  <c:v>0.17099497075380427</c:v>
                </c:pt>
                <c:pt idx="97">
                  <c:v>0.14794364992563486</c:v>
                </c:pt>
                <c:pt idx="98">
                  <c:v>0.12789334421269838</c:v>
                </c:pt>
                <c:pt idx="99">
                  <c:v>0.1104728208530053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50-244F-AD8F-C472AE0A68C5}"/>
            </c:ext>
          </c:extLst>
        </c:ser>
        <c:ser>
          <c:idx val="1"/>
          <c:order val="1"/>
          <c:tx>
            <c:strRef>
              <c:f>Greeks!$AE$3</c:f>
              <c:strCache>
                <c:ptCount val="1"/>
                <c:pt idx="0">
                  <c:v>Vega 2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Greeks!$AA$4:$AA$103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Greeks!$AE$4:$AE$103</c:f>
              <c:numCache>
                <c:formatCode>0.000</c:formatCode>
                <c:ptCount val="100"/>
                <c:pt idx="0">
                  <c:v>0</c:v>
                </c:pt>
                <c:pt idx="1">
                  <c:v>6.3184368427131845E-251</c:v>
                </c:pt>
                <c:pt idx="2">
                  <c:v>8.7242347186383623E-192</c:v>
                </c:pt>
                <c:pt idx="3">
                  <c:v>1.2306814951844481E-154</c:v>
                </c:pt>
                <c:pt idx="4">
                  <c:v>1.4296983206659727E-128</c:v>
                </c:pt>
                <c:pt idx="5">
                  <c:v>4.6596867913707407E-109</c:v>
                </c:pt>
                <c:pt idx="6">
                  <c:v>8.2229629846223416E-94</c:v>
                </c:pt>
                <c:pt idx="7">
                  <c:v>1.5683723005508087E-81</c:v>
                </c:pt>
                <c:pt idx="8">
                  <c:v>2.0576000419096493E-71</c:v>
                </c:pt>
                <c:pt idx="9">
                  <c:v>6.2645818900040119E-63</c:v>
                </c:pt>
                <c:pt idx="10">
                  <c:v>1.0226297818669318E-55</c:v>
                </c:pt>
                <c:pt idx="11">
                  <c:v>1.6283718331982196E-49</c:v>
                </c:pt>
                <c:pt idx="12">
                  <c:v>3.9305498408455336E-44</c:v>
                </c:pt>
                <c:pt idx="13">
                  <c:v>2.0064464905377058E-39</c:v>
                </c:pt>
                <c:pt idx="14">
                  <c:v>2.8005139603109404E-35</c:v>
                </c:pt>
                <c:pt idx="15">
                  <c:v>1.3077361458053109E-31</c:v>
                </c:pt>
                <c:pt idx="16">
                  <c:v>2.3999524261317198E-28</c:v>
                </c:pt>
                <c:pt idx="17">
                  <c:v>1.9717469535938353E-25</c:v>
                </c:pt>
                <c:pt idx="18">
                  <c:v>8.0682204309639174E-23</c:v>
                </c:pt>
                <c:pt idx="19">
                  <c:v>1.7960037766181629E-20</c:v>
                </c:pt>
                <c:pt idx="20">
                  <c:v>2.3413154127070193E-18</c:v>
                </c:pt>
                <c:pt idx="21">
                  <c:v>1.9020412143934564E-16</c:v>
                </c:pt>
                <c:pt idx="22">
                  <c:v>1.0150912350307793E-14</c:v>
                </c:pt>
                <c:pt idx="23">
                  <c:v>3.7232132247355795E-13</c:v>
                </c:pt>
                <c:pt idx="24">
                  <c:v>9.7573945778301238E-12</c:v>
                </c:pt>
                <c:pt idx="25">
                  <c:v>1.8895873559373325E-10</c:v>
                </c:pt>
                <c:pt idx="26">
                  <c:v>2.7844662249496607E-9</c:v>
                </c:pt>
                <c:pt idx="27">
                  <c:v>3.2032755601165307E-8</c:v>
                </c:pt>
                <c:pt idx="28">
                  <c:v>2.9424845277513454E-7</c:v>
                </c:pt>
                <c:pt idx="29">
                  <c:v>2.2016397592904113E-6</c:v>
                </c:pt>
                <c:pt idx="30">
                  <c:v>1.365697156192615E-5</c:v>
                </c:pt>
                <c:pt idx="31">
                  <c:v>7.1344182077500267E-5</c:v>
                </c:pt>
                <c:pt idx="32">
                  <c:v>3.1830904952294913E-4</c:v>
                </c:pt>
                <c:pt idx="33">
                  <c:v>1.2282371219307514E-3</c:v>
                </c:pt>
                <c:pt idx="34">
                  <c:v>4.145359153392059E-3</c:v>
                </c:pt>
                <c:pt idx="35">
                  <c:v>1.236257297459081E-2</c:v>
                </c:pt>
                <c:pt idx="36">
                  <c:v>3.2878893633586689E-2</c:v>
                </c:pt>
                <c:pt idx="37">
                  <c:v>7.8633402585218462E-2</c:v>
                </c:pt>
                <c:pt idx="38">
                  <c:v>0.17039886296531945</c:v>
                </c:pt>
                <c:pt idx="39">
                  <c:v>0.3368913589463845</c:v>
                </c:pt>
                <c:pt idx="40">
                  <c:v>0.61151675562450181</c:v>
                </c:pt>
                <c:pt idx="41">
                  <c:v>1.0249908886281809</c:v>
                </c:pt>
                <c:pt idx="42">
                  <c:v>1.594825957458234</c:v>
                </c:pt>
                <c:pt idx="43">
                  <c:v>2.3146689254538066</c:v>
                </c:pt>
                <c:pt idx="44">
                  <c:v>3.1475921417859416</c:v>
                </c:pt>
                <c:pt idx="45">
                  <c:v>4.0268122486241618</c:v>
                </c:pt>
                <c:pt idx="46">
                  <c:v>4.8649616066475341</c:v>
                </c:pt>
                <c:pt idx="47">
                  <c:v>5.5699296101254054</c:v>
                </c:pt>
                <c:pt idx="48">
                  <c:v>6.0628433736400398</c:v>
                </c:pt>
                <c:pt idx="49">
                  <c:v>6.2930427859971543</c:v>
                </c:pt>
                <c:pt idx="50">
                  <c:v>6.2461221835729361</c:v>
                </c:pt>
                <c:pt idx="51">
                  <c:v>5.943579992098214</c:v>
                </c:pt>
                <c:pt idx="52">
                  <c:v>5.4352305226869611</c:v>
                </c:pt>
                <c:pt idx="53">
                  <c:v>4.7873260477432646</c:v>
                </c:pt>
                <c:pt idx="54">
                  <c:v>4.0698717147215451</c:v>
                </c:pt>
                <c:pt idx="55">
                  <c:v>3.3460196694240141</c:v>
                </c:pt>
                <c:pt idx="56">
                  <c:v>2.6651915149651408</c:v>
                </c:pt>
                <c:pt idx="57">
                  <c:v>2.0602585599445935</c:v>
                </c:pt>
                <c:pt idx="58">
                  <c:v>1.5481130997835735</c:v>
                </c:pt>
                <c:pt idx="59">
                  <c:v>1.1324583762858429</c:v>
                </c:pt>
                <c:pt idx="60">
                  <c:v>0.80759070676946698</c:v>
                </c:pt>
                <c:pt idx="61">
                  <c:v>0.5621907589623435</c:v>
                </c:pt>
                <c:pt idx="62">
                  <c:v>0.38250656060747301</c:v>
                </c:pt>
                <c:pt idx="63">
                  <c:v>0.25466219040926585</c:v>
                </c:pt>
                <c:pt idx="64">
                  <c:v>0.16608807402477313</c:v>
                </c:pt>
                <c:pt idx="65">
                  <c:v>0.10622122521970884</c:v>
                </c:pt>
                <c:pt idx="66">
                  <c:v>6.6681891839340535E-2</c:v>
                </c:pt>
                <c:pt idx="67">
                  <c:v>4.1127212673272726E-2</c:v>
                </c:pt>
                <c:pt idx="68">
                  <c:v>2.4943314209145626E-2</c:v>
                </c:pt>
                <c:pt idx="69">
                  <c:v>1.4888143418308188E-2</c:v>
                </c:pt>
                <c:pt idx="70">
                  <c:v>8.752397244770449E-3</c:v>
                </c:pt>
                <c:pt idx="71">
                  <c:v>5.0714719663193285E-3</c:v>
                </c:pt>
                <c:pt idx="72">
                  <c:v>2.8984447609321905E-3</c:v>
                </c:pt>
                <c:pt idx="73">
                  <c:v>1.6349616469626012E-3</c:v>
                </c:pt>
                <c:pt idx="74">
                  <c:v>9.1082364079182081E-4</c:v>
                </c:pt>
                <c:pt idx="75">
                  <c:v>5.0142254120831673E-4</c:v>
                </c:pt>
                <c:pt idx="76">
                  <c:v>2.7293659056261247E-4</c:v>
                </c:pt>
                <c:pt idx="77">
                  <c:v>1.4697422980954435E-4</c:v>
                </c:pt>
                <c:pt idx="78">
                  <c:v>7.8336418730119334E-5</c:v>
                </c:pt>
                <c:pt idx="79">
                  <c:v>4.1346615861545281E-5</c:v>
                </c:pt>
                <c:pt idx="80">
                  <c:v>2.1620728548781511E-5</c:v>
                </c:pt>
                <c:pt idx="81">
                  <c:v>1.1205866698549009E-5</c:v>
                </c:pt>
                <c:pt idx="82">
                  <c:v>5.7589975022822804E-6</c:v>
                </c:pt>
                <c:pt idx="83">
                  <c:v>2.9359425758578683E-6</c:v>
                </c:pt>
                <c:pt idx="84">
                  <c:v>1.4852933366276893E-6</c:v>
                </c:pt>
                <c:pt idx="85">
                  <c:v>7.4592989114531997E-7</c:v>
                </c:pt>
                <c:pt idx="86">
                  <c:v>3.7201008896848652E-7</c:v>
                </c:pt>
                <c:pt idx="87">
                  <c:v>1.8429998954517379E-7</c:v>
                </c:pt>
                <c:pt idx="88">
                  <c:v>9.0729024319149454E-8</c:v>
                </c:pt>
                <c:pt idx="89">
                  <c:v>4.4396404942369873E-8</c:v>
                </c:pt>
                <c:pt idx="90">
                  <c:v>2.1600035450046445E-8</c:v>
                </c:pt>
                <c:pt idx="91">
                  <c:v>1.0451657160963378E-8</c:v>
                </c:pt>
                <c:pt idx="92">
                  <c:v>5.0309913534342622E-9</c:v>
                </c:pt>
                <c:pt idx="93">
                  <c:v>2.4097302470528624E-9</c:v>
                </c:pt>
                <c:pt idx="94">
                  <c:v>1.148771695584633E-9</c:v>
                </c:pt>
                <c:pt idx="95">
                  <c:v>5.4519137469487787E-10</c:v>
                </c:pt>
                <c:pt idx="96">
                  <c:v>2.5763771032034936E-10</c:v>
                </c:pt>
                <c:pt idx="97">
                  <c:v>1.2125685282397895E-10</c:v>
                </c:pt>
                <c:pt idx="98">
                  <c:v>5.684953420944372E-11</c:v>
                </c:pt>
                <c:pt idx="99">
                  <c:v>2.6555529938533628E-11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40-D54C-8439-A96F7D6CA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293343"/>
        <c:axId val="196292143"/>
      </c:lineChart>
      <c:catAx>
        <c:axId val="196293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US"/>
          </a:p>
        </c:txPr>
        <c:crossAx val="196292143"/>
        <c:crosses val="autoZero"/>
        <c:auto val="1"/>
        <c:lblAlgn val="ctr"/>
        <c:lblOffset val="100"/>
        <c:noMultiLvlLbl val="0"/>
      </c:catAx>
      <c:valAx>
        <c:axId val="196292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US"/>
          </a:p>
        </c:txPr>
        <c:crossAx val="196293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Rho</a:t>
            </a:r>
            <a:endParaRPr lang="fr-FR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Greeks!$F$3</c:f>
              <c:strCache>
                <c:ptCount val="1"/>
                <c:pt idx="0">
                  <c:v>Rho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Greeks!$AA$4:$AA$103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Greeks!$F$4:$F$103</c:f>
              <c:numCache>
                <c:formatCode>0.000</c:formatCode>
                <c:ptCount val="100"/>
                <c:pt idx="0">
                  <c:v>2.5373450060286272E-77</c:v>
                </c:pt>
                <c:pt idx="1">
                  <c:v>2.6489748448655772E-53</c:v>
                </c:pt>
                <c:pt idx="2">
                  <c:v>2.1490544863612544E-41</c:v>
                </c:pt>
                <c:pt idx="3">
                  <c:v>6.6811124516799902E-34</c:v>
                </c:pt>
                <c:pt idx="4">
                  <c:v>1.2307306401991767E-28</c:v>
                </c:pt>
                <c:pt idx="5">
                  <c:v>1.0923077549548282E-24</c:v>
                </c:pt>
                <c:pt idx="6">
                  <c:v>1.344393573097942E-21</c:v>
                </c:pt>
                <c:pt idx="7">
                  <c:v>4.187761004788452E-19</c:v>
                </c:pt>
                <c:pt idx="8">
                  <c:v>4.7893340124960334E-17</c:v>
                </c:pt>
                <c:pt idx="9">
                  <c:v>2.5680307697931894E-15</c:v>
                </c:pt>
                <c:pt idx="10">
                  <c:v>7.6402234831080018E-14</c:v>
                </c:pt>
                <c:pt idx="11">
                  <c:v>1.4226139728942924E-12</c:v>
                </c:pt>
                <c:pt idx="12">
                  <c:v>1.8116573928280941E-11</c:v>
                </c:pt>
                <c:pt idx="13">
                  <c:v>1.6872794208420958E-10</c:v>
                </c:pt>
                <c:pt idx="14">
                  <c:v>1.2102855293956204E-9</c:v>
                </c:pt>
                <c:pt idx="15">
                  <c:v>6.9636101775933541E-9</c:v>
                </c:pt>
                <c:pt idx="16">
                  <c:v>3.3198651587317303E-8</c:v>
                </c:pt>
                <c:pt idx="17">
                  <c:v>1.346328689048627E-7</c:v>
                </c:pt>
                <c:pt idx="18">
                  <c:v>4.7453518576756809E-7</c:v>
                </c:pt>
                <c:pt idx="19">
                  <c:v>1.4798137883867345E-6</c:v>
                </c:pt>
                <c:pt idx="20">
                  <c:v>4.144125007740364E-6</c:v>
                </c:pt>
                <c:pt idx="21">
                  <c:v>1.0553533704105961E-5</c:v>
                </c:pt>
                <c:pt idx="22">
                  <c:v>2.4702214835989437E-5</c:v>
                </c:pt>
                <c:pt idx="23">
                  <c:v>5.3630661237708305E-5</c:v>
                </c:pt>
                <c:pt idx="24">
                  <c:v>1.0885467187415505E-4</c:v>
                </c:pt>
                <c:pt idx="25">
                  <c:v>2.0796961132190842E-4</c:v>
                </c:pt>
                <c:pt idx="26">
                  <c:v>3.7623011089547609E-4</c:v>
                </c:pt>
                <c:pt idx="27">
                  <c:v>6.4784371088540908E-4</c:v>
                </c:pt>
                <c:pt idx="28">
                  <c:v>1.0666979180595083E-3</c:v>
                </c:pt>
                <c:pt idx="29">
                  <c:v>1.6862741751541041E-3</c:v>
                </c:pt>
                <c:pt idx="30">
                  <c:v>2.5685869129856357E-3</c:v>
                </c:pt>
                <c:pt idx="31">
                  <c:v>3.7821068031543208E-3</c:v>
                </c:pt>
                <c:pt idx="32">
                  <c:v>5.3987623279424289E-3</c:v>
                </c:pt>
                <c:pt idx="33">
                  <c:v>7.4902385502973118E-3</c:v>
                </c:pt>
                <c:pt idx="34">
                  <c:v>1.0123885718531643E-2</c:v>
                </c:pt>
                <c:pt idx="35">
                  <c:v>1.3358599723543894E-2</c:v>
                </c:pt>
                <c:pt idx="36">
                  <c:v>1.7241037152545484E-2</c:v>
                </c:pt>
                <c:pt idx="37">
                  <c:v>2.1802483972048821E-2</c:v>
                </c:pt>
                <c:pt idx="38">
                  <c:v>2.7056619308652056E-2</c:v>
                </c:pt>
                <c:pt idx="39">
                  <c:v>3.2998318420448057E-2</c:v>
                </c:pt>
                <c:pt idx="40">
                  <c:v>3.9603536360050789E-2</c:v>
                </c:pt>
                <c:pt idx="41">
                  <c:v>4.6830218827364677E-2</c:v>
                </c:pt>
                <c:pt idx="42">
                  <c:v>5.4620108809255025E-2</c:v>
                </c:pt>
                <c:pt idx="43">
                  <c:v>6.2901262403119815E-2</c:v>
                </c:pt>
                <c:pt idx="44">
                  <c:v>7.1591056528643254E-2</c:v>
                </c:pt>
                <c:pt idx="45">
                  <c:v>8.0599463699529361E-2</c:v>
                </c:pt>
                <c:pt idx="46">
                  <c:v>8.9832381063571859E-2</c:v>
                </c:pt>
                <c:pt idx="47">
                  <c:v>9.9194827657928114E-2</c:v>
                </c:pt>
                <c:pt idx="48">
                  <c:v>0.1085938599950621</c:v>
                </c:pt>
                <c:pt idx="49">
                  <c:v>0.11794109669991694</c:v>
                </c:pt>
                <c:pt idx="50">
                  <c:v>0.12715478370589761</c:v>
                </c:pt>
                <c:pt idx="51">
                  <c:v>0.13616136921719924</c:v>
                </c:pt>
                <c:pt idx="52">
                  <c:v>0.14489659004163472</c:v>
                </c:pt>
                <c:pt idx="53">
                  <c:v>0.15330609676258433</c:v>
                </c:pt>
                <c:pt idx="54">
                  <c:v>0.16134566416036944</c:v>
                </c:pt>
                <c:pt idx="55">
                  <c:v>0.16898104556929805</c:v>
                </c:pt>
                <c:pt idx="56">
                  <c:v>0.17618753617340072</c:v>
                </c:pt>
                <c:pt idx="57">
                  <c:v>0.18294931157491642</c:v>
                </c:pt>
                <c:pt idx="58">
                  <c:v>0.18925860540189995</c:v>
                </c:pt>
                <c:pt idx="59">
                  <c:v>0.19511478433741708</c:v>
                </c:pt>
                <c:pt idx="60">
                  <c:v>0.20052337174807489</c:v>
                </c:pt>
                <c:pt idx="61">
                  <c:v>0.20549506292180161</c:v>
                </c:pt>
                <c:pt idx="62">
                  <c:v>0.21004476648960049</c:v>
                </c:pt>
                <c:pt idx="63">
                  <c:v>0.21419069843325664</c:v>
                </c:pt>
                <c:pt idx="64">
                  <c:v>0.21795354754456372</c:v>
                </c:pt>
                <c:pt idx="65">
                  <c:v>0.22135572453836988</c:v>
                </c:pt>
                <c:pt idx="66">
                  <c:v>0.22442070135461858</c:v>
                </c:pt>
                <c:pt idx="67">
                  <c:v>0.22717244254718122</c:v>
                </c:pt>
                <c:pt idx="68">
                  <c:v>0.229634927017181</c:v>
                </c:pt>
                <c:pt idx="69">
                  <c:v>0.23183175562797664</c:v>
                </c:pt>
                <c:pt idx="70">
                  <c:v>0.23378583833255054</c:v>
                </c:pt>
                <c:pt idx="71">
                  <c:v>0.23551915323264008</c:v>
                </c:pt>
                <c:pt idx="72">
                  <c:v>0.23705256935045574</c:v>
                </c:pt>
                <c:pt idx="73">
                  <c:v>0.23840572471083374</c:v>
                </c:pt>
                <c:pt idx="74">
                  <c:v>0.23959695149645976</c:v>
                </c:pt>
                <c:pt idx="75">
                  <c:v>0.24064324045634147</c:v>
                </c:pt>
                <c:pt idx="76">
                  <c:v>0.24156023733696896</c:v>
                </c:pt>
                <c:pt idx="77">
                  <c:v>0.24236226479967932</c:v>
                </c:pt>
                <c:pt idx="78">
                  <c:v>0.24306236403316089</c:v>
                </c:pt>
                <c:pt idx="79">
                  <c:v>0.24367235102554941</c:v>
                </c:pt>
                <c:pt idx="80">
                  <c:v>0.24420288319561856</c:v>
                </c:pt>
                <c:pt idx="81">
                  <c:v>0.2446635327757094</c:v>
                </c:pt>
                <c:pt idx="82">
                  <c:v>0.24506286397629468</c:v>
                </c:pt>
                <c:pt idx="83">
                  <c:v>0.24540851153547058</c:v>
                </c:pt>
                <c:pt idx="84">
                  <c:v>0.2457072587628695</c:v>
                </c:pt>
                <c:pt idx="85">
                  <c:v>0.24596511362663748</c:v>
                </c:pt>
                <c:pt idx="86">
                  <c:v>0.24618738180684299</c:v>
                </c:pt>
                <c:pt idx="87">
                  <c:v>0.24637873595327539</c:v>
                </c:pt>
                <c:pt idx="88">
                  <c:v>0.24654328064537451</c:v>
                </c:pt>
                <c:pt idx="89">
                  <c:v>0.24668461276285553</c:v>
                </c:pt>
                <c:pt idx="90">
                  <c:v>0.24680587714344368</c:v>
                </c:pt>
                <c:pt idx="91">
                  <c:v>0.24690981753487676</c:v>
                </c:pt>
                <c:pt idx="92">
                  <c:v>0.24699882294752115</c:v>
                </c:pt>
                <c:pt idx="93">
                  <c:v>0.24707496958669189</c:v>
                </c:pt>
                <c:pt idx="94">
                  <c:v>0.24714005859468618</c:v>
                </c:pt>
                <c:pt idx="95">
                  <c:v>0.24719564986572093</c:v>
                </c:pt>
                <c:pt idx="96">
                  <c:v>0.24724309221596677</c:v>
                </c:pt>
                <c:pt idx="97">
                  <c:v>0.24728355019875389</c:v>
                </c:pt>
                <c:pt idx="98">
                  <c:v>0.24731802785437454</c:v>
                </c:pt>
                <c:pt idx="99">
                  <c:v>0.24734738967688402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39-6846-B332-FD225EF91ABE}"/>
            </c:ext>
          </c:extLst>
        </c:ser>
        <c:ser>
          <c:idx val="1"/>
          <c:order val="1"/>
          <c:tx>
            <c:strRef>
              <c:f>Greeks!$AF$3</c:f>
              <c:strCache>
                <c:ptCount val="1"/>
                <c:pt idx="0">
                  <c:v>Rho 2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Greeks!$AA$4:$AA$103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cat>
          <c:val>
            <c:numRef>
              <c:f>Greeks!$AF$4:$AF$103</c:f>
              <c:numCache>
                <c:formatCode>0.000</c:formatCode>
                <c:ptCount val="100"/>
                <c:pt idx="0">
                  <c:v>0</c:v>
                </c:pt>
                <c:pt idx="1">
                  <c:v>2.4582176738144743E-254</c:v>
                </c:pt>
                <c:pt idx="2">
                  <c:v>3.2417689695627333E-195</c:v>
                </c:pt>
                <c:pt idx="3">
                  <c:v>4.4808125913129363E-158</c:v>
                </c:pt>
                <c:pt idx="4">
                  <c:v>5.1688105497079885E-132</c:v>
                </c:pt>
                <c:pt idx="5">
                  <c:v>1.6864210790109146E-112</c:v>
                </c:pt>
                <c:pt idx="6">
                  <c:v>2.99560911270837E-97</c:v>
                </c:pt>
                <c:pt idx="7">
                  <c:v>5.7741290639955918E-85</c:v>
                </c:pt>
                <c:pt idx="8">
                  <c:v>7.6791126496217756E-75</c:v>
                </c:pt>
                <c:pt idx="9">
                  <c:v>2.3758930895862639E-66</c:v>
                </c:pt>
                <c:pt idx="10">
                  <c:v>3.9494288958776105E-59</c:v>
                </c:pt>
                <c:pt idx="11">
                  <c:v>6.4154211105434012E-53</c:v>
                </c:pt>
                <c:pt idx="12">
                  <c:v>1.5822302567143834E-47</c:v>
                </c:pt>
                <c:pt idx="13">
                  <c:v>8.2645139507106573E-43</c:v>
                </c:pt>
                <c:pt idx="14">
                  <c:v>1.1819170985492661E-38</c:v>
                </c:pt>
                <c:pt idx="15">
                  <c:v>5.6622136696093184E-35</c:v>
                </c:pt>
                <c:pt idx="16">
                  <c:v>1.0673933276778098E-31</c:v>
                </c:pt>
                <c:pt idx="17">
                  <c:v>9.0189814087583139E-29</c:v>
                </c:pt>
                <c:pt idx="18">
                  <c:v>3.8000908145432822E-26</c:v>
                </c:pt>
                <c:pt idx="19">
                  <c:v>8.7209009680213046E-24</c:v>
                </c:pt>
                <c:pt idx="20">
                  <c:v>1.1735121204297681E-21</c:v>
                </c:pt>
                <c:pt idx="21">
                  <c:v>9.8530150586466726E-20</c:v>
                </c:pt>
                <c:pt idx="22">
                  <c:v>5.4417761678284304E-18</c:v>
                </c:pt>
                <c:pt idx="23">
                  <c:v>2.0683582513081038E-16</c:v>
                </c:pt>
                <c:pt idx="24">
                  <c:v>5.6250351253420293E-15</c:v>
                </c:pt>
                <c:pt idx="25">
                  <c:v>1.1320950480227225E-13</c:v>
                </c:pt>
                <c:pt idx="26">
                  <c:v>1.736432137727287E-12</c:v>
                </c:pt>
                <c:pt idx="27">
                  <c:v>2.0826906524255089E-11</c:v>
                </c:pt>
                <c:pt idx="28">
                  <c:v>1.998105762874875E-10</c:v>
                </c:pt>
                <c:pt idx="29">
                  <c:v>1.5643498696637988E-9</c:v>
                </c:pt>
                <c:pt idx="30">
                  <c:v>1.0173996786034949E-8</c:v>
                </c:pt>
                <c:pt idx="31">
                  <c:v>5.5843841545409874E-8</c:v>
                </c:pt>
                <c:pt idx="32">
                  <c:v>2.6238975698694566E-7</c:v>
                </c:pt>
                <c:pt idx="33">
                  <c:v>1.0689157244904009E-6</c:v>
                </c:pt>
                <c:pt idx="34">
                  <c:v>3.8190867029346473E-6</c:v>
                </c:pt>
                <c:pt idx="35">
                  <c:v>1.2092524443196194E-5</c:v>
                </c:pt>
                <c:pt idx="36">
                  <c:v>3.4255113661606721E-5</c:v>
                </c:pt>
                <c:pt idx="37">
                  <c:v>8.7565697670658881E-5</c:v>
                </c:pt>
                <c:pt idx="38">
                  <c:v>2.035994968945098E-4</c:v>
                </c:pt>
                <c:pt idx="39">
                  <c:v>4.3372219213414268E-4</c:v>
                </c:pt>
                <c:pt idx="40">
                  <c:v>8.5222837224387376E-4</c:v>
                </c:pt>
                <c:pt idx="41">
                  <c:v>1.5542346748663202E-3</c:v>
                </c:pt>
                <c:pt idx="42">
                  <c:v>2.6461675815852696E-3</c:v>
                </c:pt>
                <c:pt idx="43">
                  <c:v>4.2288615692572954E-3</c:v>
                </c:pt>
                <c:pt idx="44">
                  <c:v>6.3762180265920726E-3</c:v>
                </c:pt>
                <c:pt idx="45">
                  <c:v>9.1147895422880598E-3</c:v>
                </c:pt>
                <c:pt idx="46">
                  <c:v>1.2410313047292084E-2</c:v>
                </c:pt>
                <c:pt idx="47">
                  <c:v>1.6165631830450961E-2</c:v>
                </c:pt>
                <c:pt idx="48">
                  <c:v>2.0231174999433749E-2</c:v>
                </c:pt>
                <c:pt idx="49">
                  <c:v>2.4425508324082745E-2</c:v>
                </c:pt>
                <c:pt idx="50">
                  <c:v>2.8560820131663878E-2</c:v>
                </c:pt>
                <c:pt idx="51">
                  <c:v>3.2467396175073257E-2</c:v>
                </c:pt>
                <c:pt idx="52">
                  <c:v>3.6012178218454975E-2</c:v>
                </c:pt>
                <c:pt idx="53">
                  <c:v>3.9108727563745657E-2</c:v>
                </c:pt>
                <c:pt idx="54">
                  <c:v>4.1718394674526552E-2</c:v>
                </c:pt>
                <c:pt idx="55">
                  <c:v>4.3844443056966352E-2</c:v>
                </c:pt>
                <c:pt idx="56">
                  <c:v>4.5521887475066178E-2</c:v>
                </c:pt>
                <c:pt idx="57">
                  <c:v>4.6805885411843863E-2</c:v>
                </c:pt>
                <c:pt idx="58">
                  <c:v>4.77609398834224E-2</c:v>
                </c:pt>
                <c:pt idx="59">
                  <c:v>4.8452296126737474E-2</c:v>
                </c:pt>
                <c:pt idx="60">
                  <c:v>4.8940057108055379E-2</c:v>
                </c:pt>
                <c:pt idx="61">
                  <c:v>4.9275893186459897E-2</c:v>
                </c:pt>
                <c:pt idx="62">
                  <c:v>4.9501842727028976E-2</c:v>
                </c:pt>
                <c:pt idx="63">
                  <c:v>4.9650564856242092E-2</c:v>
                </c:pt>
                <c:pt idx="64">
                  <c:v>4.9746439942644834E-2</c:v>
                </c:pt>
                <c:pt idx="65">
                  <c:v>4.9807038173777032E-2</c:v>
                </c:pt>
                <c:pt idx="66">
                  <c:v>4.9844627970569613E-2</c:v>
                </c:pt>
                <c:pt idx="67">
                  <c:v>4.9867533660414014E-2</c:v>
                </c:pt>
                <c:pt idx="68">
                  <c:v>4.9881257162932596E-2</c:v>
                </c:pt>
                <c:pt idx="69">
                  <c:v>4.9889348092045802E-2</c:v>
                </c:pt>
                <c:pt idx="70">
                  <c:v>4.9894045816355315E-2</c:v>
                </c:pt>
                <c:pt idx="71">
                  <c:v>4.9896733992459329E-2</c:v>
                </c:pt>
                <c:pt idx="72">
                  <c:v>4.9898251102254168E-2</c:v>
                </c:pt>
                <c:pt idx="73">
                  <c:v>4.9899096103295314E-2</c:v>
                </c:pt>
                <c:pt idx="74">
                  <c:v>4.9899560891438405E-2</c:v>
                </c:pt>
                <c:pt idx="75">
                  <c:v>4.989981351437018E-2</c:v>
                </c:pt>
                <c:pt idx="76">
                  <c:v>4.9899949270490351E-2</c:v>
                </c:pt>
                <c:pt idx="77">
                  <c:v>4.9900021439606326E-2</c:v>
                </c:pt>
                <c:pt idx="78">
                  <c:v>4.9900059412461673E-2</c:v>
                </c:pt>
                <c:pt idx="79">
                  <c:v>4.9900079197572209E-2</c:v>
                </c:pt>
                <c:pt idx="80">
                  <c:v>4.990008941049489E-2</c:v>
                </c:pt>
                <c:pt idx="81">
                  <c:v>4.9900094635672507E-2</c:v>
                </c:pt>
                <c:pt idx="82">
                  <c:v>4.9900097286462559E-2</c:v>
                </c:pt>
                <c:pt idx="83">
                  <c:v>4.9900098620438212E-2</c:v>
                </c:pt>
                <c:pt idx="84">
                  <c:v>4.99000992866089E-2</c:v>
                </c:pt>
                <c:pt idx="85">
                  <c:v>4.9900099616862162E-2</c:v>
                </c:pt>
                <c:pt idx="86">
                  <c:v>4.9900099779448565E-2</c:v>
                </c:pt>
                <c:pt idx="87">
                  <c:v>4.9900099858962162E-2</c:v>
                </c:pt>
                <c:pt idx="88">
                  <c:v>4.990009989760389E-2</c:v>
                </c:pt>
                <c:pt idx="89">
                  <c:v>4.9900099916270327E-2</c:v>
                </c:pt>
                <c:pt idx="90">
                  <c:v>4.9900099925235968E-2</c:v>
                </c:pt>
                <c:pt idx="91">
                  <c:v>4.9900099929518861E-2</c:v>
                </c:pt>
                <c:pt idx="92">
                  <c:v>4.9900099931554233E-2</c:v>
                </c:pt>
                <c:pt idx="93">
                  <c:v>4.9900099932516755E-2</c:v>
                </c:pt>
                <c:pt idx="94">
                  <c:v>4.9900099932969802E-2</c:v>
                </c:pt>
                <c:pt idx="95">
                  <c:v>4.990009993318209E-2</c:v>
                </c:pt>
                <c:pt idx="96">
                  <c:v>4.990009993328115E-2</c:v>
                </c:pt>
                <c:pt idx="97">
                  <c:v>4.9900099933327183E-2</c:v>
                </c:pt>
                <c:pt idx="98">
                  <c:v>4.9900099933348506E-2</c:v>
                </c:pt>
                <c:pt idx="99">
                  <c:v>4.9900099933358331E-2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B7-3E41-8D0F-F8D294159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412032"/>
        <c:axId val="123413760"/>
      </c:lineChart>
      <c:catAx>
        <c:axId val="123412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US"/>
          </a:p>
        </c:txPr>
        <c:crossAx val="123413760"/>
        <c:crosses val="autoZero"/>
        <c:auto val="1"/>
        <c:lblAlgn val="ctr"/>
        <c:lblOffset val="100"/>
        <c:noMultiLvlLbl val="0"/>
      </c:catAx>
      <c:valAx>
        <c:axId val="12341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US"/>
          </a:p>
        </c:txPr>
        <c:crossAx val="123412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Feuil1!$I$15:$I$24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Feuil1!$J$15:$J$24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6B-9A48-8CCB-C458A30D9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203567"/>
        <c:axId val="138150063"/>
      </c:line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Feuil1!$K$15:$K$24</c:f>
              <c:numCache>
                <c:formatCode>General</c:formatCode>
                <c:ptCount val="10"/>
                <c:pt idx="0">
                  <c:v>0.11163901151458497</c:v>
                </c:pt>
                <c:pt idx="1">
                  <c:v>0.24561481703029681</c:v>
                </c:pt>
                <c:pt idx="2">
                  <c:v>0.64455176388803459</c:v>
                </c:pt>
                <c:pt idx="3">
                  <c:v>0.64455176388803459</c:v>
                </c:pt>
                <c:pt idx="4">
                  <c:v>0.81598131446326361</c:v>
                </c:pt>
                <c:pt idx="5">
                  <c:v>0.9749531212042829</c:v>
                </c:pt>
                <c:pt idx="6">
                  <c:v>0.64455176388803459</c:v>
                </c:pt>
                <c:pt idx="7">
                  <c:v>0.43689312758101834</c:v>
                </c:pt>
                <c:pt idx="8">
                  <c:v>0.24561481703029681</c:v>
                </c:pt>
                <c:pt idx="9">
                  <c:v>0.11163901151458497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6B-9A48-8CCB-C458A30D9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267935"/>
        <c:axId val="86263423"/>
      </c:lineChart>
      <c:catAx>
        <c:axId val="1382035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US"/>
          </a:p>
        </c:txPr>
        <c:crossAx val="138150063"/>
        <c:crosses val="autoZero"/>
        <c:auto val="1"/>
        <c:lblAlgn val="ctr"/>
        <c:lblOffset val="100"/>
        <c:noMultiLvlLbl val="0"/>
      </c:catAx>
      <c:valAx>
        <c:axId val="138150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US"/>
          </a:p>
        </c:txPr>
        <c:crossAx val="138203567"/>
        <c:crosses val="autoZero"/>
        <c:crossBetween val="between"/>
      </c:valAx>
      <c:valAx>
        <c:axId val="8626342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US"/>
          </a:p>
        </c:txPr>
        <c:crossAx val="86267935"/>
        <c:crosses val="max"/>
        <c:crossBetween val="between"/>
      </c:valAx>
      <c:catAx>
        <c:axId val="86267935"/>
        <c:scaling>
          <c:orientation val="minMax"/>
        </c:scaling>
        <c:delete val="1"/>
        <c:axPos val="b"/>
        <c:majorTickMark val="out"/>
        <c:minorTickMark val="none"/>
        <c:tickLblPos val="nextTo"/>
        <c:crossAx val="8626342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1.jpeg"/><Relationship Id="rId1" Type="http://schemas.openxmlformats.org/officeDocument/2006/relationships/image" Target="../media/image3.png"/><Relationship Id="rId4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732619</xdr:colOff>
      <xdr:row>16</xdr:row>
      <xdr:rowOff>112390</xdr:rowOff>
    </xdr:from>
    <xdr:to>
      <xdr:col>21</xdr:col>
      <xdr:colOff>272243</xdr:colOff>
      <xdr:row>26</xdr:row>
      <xdr:rowOff>33717</xdr:rowOff>
    </xdr:to>
    <xdr:pic>
      <xdr:nvPicPr>
        <xdr:cNvPr id="3" name="Image 2" descr="The Black Scholes Model Explained | Trade Options With Me">
          <a:extLst>
            <a:ext uri="{FF2B5EF4-FFF2-40B4-BE49-F238E27FC236}">
              <a16:creationId xmlns:a16="http://schemas.microsoft.com/office/drawing/2014/main" id="{D0F182E7-B62E-1144-959A-6557CC2086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51380" y="3484071"/>
          <a:ext cx="5327677" cy="19892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383248</xdr:colOff>
      <xdr:row>1</xdr:row>
      <xdr:rowOff>55744</xdr:rowOff>
    </xdr:from>
    <xdr:to>
      <xdr:col>20</xdr:col>
      <xdr:colOff>32593</xdr:colOff>
      <xdr:row>14</xdr:row>
      <xdr:rowOff>67882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C1FB3B7-8E2D-3744-BF8C-1D1872ABF0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213539</xdr:colOff>
      <xdr:row>1</xdr:row>
      <xdr:rowOff>75184</xdr:rowOff>
    </xdr:from>
    <xdr:to>
      <xdr:col>10</xdr:col>
      <xdr:colOff>674336</xdr:colOff>
      <xdr:row>8</xdr:row>
      <xdr:rowOff>43043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26E3B18-A47E-406A-0E1D-D78EC5F94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068760" y="288724"/>
          <a:ext cx="3742567" cy="147387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330200</xdr:colOff>
      <xdr:row>2</xdr:row>
      <xdr:rowOff>127000</xdr:rowOff>
    </xdr:from>
    <xdr:to>
      <xdr:col>13</xdr:col>
      <xdr:colOff>457199</xdr:colOff>
      <xdr:row>8</xdr:row>
      <xdr:rowOff>177800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B01033E4-B6B8-7EEA-7704-FD1DC6C31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26200" y="596900"/>
          <a:ext cx="5080000" cy="1282700"/>
        </a:xfrm>
        <a:prstGeom prst="rect">
          <a:avLst/>
        </a:prstGeom>
      </xdr:spPr>
    </xdr:pic>
    <xdr:clientData/>
  </xdr:twoCellAnchor>
  <xdr:twoCellAnchor editAs="oneCell">
    <xdr:from>
      <xdr:col>7</xdr:col>
      <xdr:colOff>271822</xdr:colOff>
      <xdr:row>8</xdr:row>
      <xdr:rowOff>202301</xdr:rowOff>
    </xdr:from>
    <xdr:to>
      <xdr:col>13</xdr:col>
      <xdr:colOff>676844</xdr:colOff>
      <xdr:row>18</xdr:row>
      <xdr:rowOff>112390</xdr:rowOff>
    </xdr:to>
    <xdr:pic>
      <xdr:nvPicPr>
        <xdr:cNvPr id="3" name="Image 2" descr="The Black Scholes Model Explained | Trade Options With Me">
          <a:extLst>
            <a:ext uri="{FF2B5EF4-FFF2-40B4-BE49-F238E27FC236}">
              <a16:creationId xmlns:a16="http://schemas.microsoft.com/office/drawing/2014/main" id="{8C7919FD-9574-AFDB-4D45-5A47B7CC8B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47486" y="1899381"/>
          <a:ext cx="5327677" cy="19892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58284</xdr:colOff>
      <xdr:row>20</xdr:row>
      <xdr:rowOff>112389</xdr:rowOff>
    </xdr:from>
    <xdr:to>
      <xdr:col>15</xdr:col>
      <xdr:colOff>751614</xdr:colOff>
      <xdr:row>34</xdr:row>
      <xdr:rowOff>64399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2D1DB244-4044-BC1E-6A38-57D17D3753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015718" y="4304513"/>
          <a:ext cx="3975100" cy="2806700"/>
        </a:xfrm>
        <a:prstGeom prst="rect">
          <a:avLst/>
        </a:prstGeom>
      </xdr:spPr>
    </xdr:pic>
    <xdr:clientData/>
  </xdr:twoCellAnchor>
  <xdr:twoCellAnchor>
    <xdr:from>
      <xdr:col>13</xdr:col>
      <xdr:colOff>742894</xdr:colOff>
      <xdr:row>3</xdr:row>
      <xdr:rowOff>145656</xdr:rowOff>
    </xdr:from>
    <xdr:to>
      <xdr:col>19</xdr:col>
      <xdr:colOff>392240</xdr:colOff>
      <xdr:row>17</xdr:row>
      <xdr:rowOff>449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D4299B5E-E791-BDD4-361B-7DC8E501FC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7</xdr:row>
      <xdr:rowOff>6350</xdr:rowOff>
    </xdr:from>
    <xdr:to>
      <xdr:col>11</xdr:col>
      <xdr:colOff>482600</xdr:colOff>
      <xdr:row>20</xdr:row>
      <xdr:rowOff>107950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1B4821B9-6432-FE90-3A99-6961CA69C4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355600</xdr:colOff>
      <xdr:row>20</xdr:row>
      <xdr:rowOff>196850</xdr:rowOff>
    </xdr:from>
    <xdr:to>
      <xdr:col>11</xdr:col>
      <xdr:colOff>482600</xdr:colOff>
      <xdr:row>34</xdr:row>
      <xdr:rowOff>95250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47E37B1B-7E09-F16F-34DF-12EB88550E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355600</xdr:colOff>
      <xdr:row>34</xdr:row>
      <xdr:rowOff>133350</xdr:rowOff>
    </xdr:from>
    <xdr:to>
      <xdr:col>11</xdr:col>
      <xdr:colOff>482600</xdr:colOff>
      <xdr:row>48</xdr:row>
      <xdr:rowOff>31750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8E1F48B-D87D-452A-8691-5E9F3206C1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558800</xdr:colOff>
      <xdr:row>7</xdr:row>
      <xdr:rowOff>6350</xdr:rowOff>
    </xdr:from>
    <xdr:to>
      <xdr:col>17</xdr:col>
      <xdr:colOff>177800</xdr:colOff>
      <xdr:row>20</xdr:row>
      <xdr:rowOff>107950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9236012-4F9C-B549-CA35-10EA786C97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0</xdr:colOff>
      <xdr:row>20</xdr:row>
      <xdr:rowOff>196850</xdr:rowOff>
    </xdr:from>
    <xdr:to>
      <xdr:col>17</xdr:col>
      <xdr:colOff>203200</xdr:colOff>
      <xdr:row>34</xdr:row>
      <xdr:rowOff>95250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C3ABC8E6-7E89-CE5A-EA3E-40B7E5E473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196850</xdr:colOff>
      <xdr:row>4</xdr:row>
      <xdr:rowOff>57150</xdr:rowOff>
    </xdr:from>
    <xdr:to>
      <xdr:col>18</xdr:col>
      <xdr:colOff>641350</xdr:colOff>
      <xdr:row>17</xdr:row>
      <xdr:rowOff>158750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BA9230B-E433-120E-3C4E-5A52375CA6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A3E4944-8AB7-B24A-9DBF-5133A6715E50}">
  <we:reference id="026e7b2b-fa4d-4fe0-bf3b-b965f6f25bee" version="1.0.0.73" store="EXCatalog" storeType="EXCatalog"/>
  <we:alternateReferences>
    <we:reference id="WA200000565" version="1.0.0.73" store="fr-FR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RDP.Data</we:customFunctionIds>
        <we:customFunctionIds>RDP.Price</we:customFunctionIds>
        <we:customFunctionIds>RDP.HistoricalPricing</we:customFunctionIds>
        <we:customFunctionIds>RDP.Analytics</we:customFunctionIds>
        <we:customFunctionIds>RDP.Search</we:customFunctionIds>
        <we:customFunctionIds>RDP.Now</we:customFunctionIds>
        <we:customFunctionIds>RDP.Today</we:customFunctionIds>
        <we:customFunctionIds>RDP.Aggregate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EE836-5344-E14F-B09C-288A9CD05427}">
  <dimension ref="D14:G22"/>
  <sheetViews>
    <sheetView topLeftCell="A8" workbookViewId="0">
      <selection activeCell="E22" sqref="E22"/>
    </sheetView>
  </sheetViews>
  <sheetFormatPr baseColWidth="10" defaultRowHeight="16" x14ac:dyDescent="0.2"/>
  <sheetData>
    <row r="14" spans="4:6" x14ac:dyDescent="0.2">
      <c r="E14">
        <v>150</v>
      </c>
    </row>
    <row r="15" spans="4:6" x14ac:dyDescent="0.2">
      <c r="D15" t="s">
        <v>61</v>
      </c>
      <c r="E15" s="13">
        <v>0.03</v>
      </c>
    </row>
    <row r="16" spans="4:6" x14ac:dyDescent="0.2">
      <c r="D16" t="s">
        <v>62</v>
      </c>
      <c r="E16" s="13">
        <v>0.05</v>
      </c>
      <c r="F16" s="13">
        <f>E16-E15</f>
        <v>2.0000000000000004E-2</v>
      </c>
    </row>
    <row r="17" spans="5:7" x14ac:dyDescent="0.2">
      <c r="E17">
        <v>1</v>
      </c>
      <c r="F17">
        <f>E19/E14-1</f>
        <v>2.0201340026755776E-2</v>
      </c>
    </row>
    <row r="18" spans="5:7" x14ac:dyDescent="0.2">
      <c r="F18" s="88"/>
    </row>
    <row r="19" spans="5:7" x14ac:dyDescent="0.2">
      <c r="E19">
        <f>E14*EXP((E16-E15)*E17)</f>
        <v>153.03020100401338</v>
      </c>
      <c r="F19">
        <f>E14*((1+E16*E17)/(1+E15*E17))</f>
        <v>152.91262135922329</v>
      </c>
      <c r="G19" s="25">
        <f>(F19/E14-1)/E17</f>
        <v>1.9417475728155331E-2</v>
      </c>
    </row>
    <row r="20" spans="5:7" x14ac:dyDescent="0.2">
      <c r="E20">
        <f>E19/E14</f>
        <v>1.0202013400267558</v>
      </c>
    </row>
    <row r="21" spans="5:7" x14ac:dyDescent="0.2">
      <c r="E21">
        <f>LN(E20)</f>
        <v>1.9999999999999966E-2</v>
      </c>
    </row>
    <row r="22" spans="5:7" x14ac:dyDescent="0.2">
      <c r="E22">
        <f>E21/E17</f>
        <v>1.9999999999999966E-2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CC822-4D91-FD44-8155-5874CEB985CB}">
  <sheetPr codeName="Feuil3"/>
  <dimension ref="A1:AF566"/>
  <sheetViews>
    <sheetView tabSelected="1" zoomScale="113" workbookViewId="0">
      <selection activeCell="I11" sqref="I11"/>
    </sheetView>
  </sheetViews>
  <sheetFormatPr baseColWidth="10" defaultRowHeight="16" x14ac:dyDescent="0.2"/>
  <cols>
    <col min="1" max="1" width="3.6640625" bestFit="1" customWidth="1"/>
    <col min="3" max="3" width="15.1640625" bestFit="1" customWidth="1"/>
    <col min="4" max="4" width="11" bestFit="1" customWidth="1"/>
    <col min="5" max="6" width="11.5" bestFit="1" customWidth="1"/>
    <col min="16" max="16" width="11.33203125" bestFit="1" customWidth="1"/>
  </cols>
  <sheetData>
    <row r="1" spans="2:32" ht="17" thickBot="1" x14ac:dyDescent="0.25"/>
    <row r="2" spans="2:32" ht="20" thickBot="1" x14ac:dyDescent="0.3">
      <c r="B2" s="73" t="s">
        <v>0</v>
      </c>
      <c r="C2" s="74"/>
      <c r="D2" s="75"/>
      <c r="AD2" s="53"/>
      <c r="AE2" s="53"/>
    </row>
    <row r="3" spans="2:32" ht="17" thickBot="1" x14ac:dyDescent="0.25">
      <c r="B3" s="102" t="s">
        <v>79</v>
      </c>
      <c r="C3" s="102"/>
      <c r="D3" s="102"/>
    </row>
    <row r="4" spans="2:32" x14ac:dyDescent="0.2">
      <c r="B4" s="7" t="s">
        <v>2</v>
      </c>
      <c r="C4" s="1" t="s">
        <v>7</v>
      </c>
      <c r="D4" s="38">
        <v>150</v>
      </c>
    </row>
    <row r="5" spans="2:32" x14ac:dyDescent="0.2">
      <c r="B5" s="8" t="s">
        <v>3</v>
      </c>
      <c r="C5" s="89" t="s">
        <v>8</v>
      </c>
      <c r="D5" s="4">
        <v>150</v>
      </c>
      <c r="AD5" s="43"/>
      <c r="AE5" s="43">
        <f>CallPrice</f>
        <v>0.5465973816345695</v>
      </c>
      <c r="AF5" s="43"/>
    </row>
    <row r="6" spans="2:32" x14ac:dyDescent="0.2">
      <c r="B6" s="8" t="s">
        <v>4</v>
      </c>
      <c r="C6" s="89" t="s">
        <v>9</v>
      </c>
      <c r="D6" s="105">
        <v>1</v>
      </c>
      <c r="AD6" s="43" cm="1">
        <f t="array" ref="AD6:AD127">_xlfn.SEQUENCE(B26,,K-20,1)</f>
        <v>130</v>
      </c>
      <c r="AE6" s="43">
        <f t="dataTable" ref="AE6:AE55" dt2D="0" dtr="0" r1="D4" ca="1"/>
        <v>1.0335908942281607E-56</v>
      </c>
      <c r="AF6" s="43">
        <f t="shared" ref="AF6:AF37" si="0">MAX(AD6-K,0)</f>
        <v>0</v>
      </c>
    </row>
    <row r="7" spans="2:32" ht="17" thickBot="1" x14ac:dyDescent="0.25">
      <c r="B7" s="8" t="s">
        <v>5</v>
      </c>
      <c r="C7" s="40" t="s">
        <v>43</v>
      </c>
      <c r="D7" s="42">
        <v>0.14499999999999999</v>
      </c>
      <c r="AD7" s="43">
        <v>131</v>
      </c>
      <c r="AE7" s="43">
        <v>4.153091264799215E-51</v>
      </c>
      <c r="AF7" s="43">
        <f t="shared" si="0"/>
        <v>0</v>
      </c>
    </row>
    <row r="8" spans="2:32" ht="17" thickBot="1" x14ac:dyDescent="0.25">
      <c r="B8" s="9" t="s">
        <v>66</v>
      </c>
      <c r="C8" s="100" t="s">
        <v>63</v>
      </c>
      <c r="D8" s="101">
        <v>125</v>
      </c>
      <c r="AD8" s="43">
        <v>132</v>
      </c>
      <c r="AE8" s="43">
        <v>7.5900582035484678E-46</v>
      </c>
      <c r="AF8" s="43">
        <f t="shared" si="0"/>
        <v>0</v>
      </c>
    </row>
    <row r="9" spans="2:32" x14ac:dyDescent="0.2">
      <c r="B9" s="94" t="s">
        <v>64</v>
      </c>
      <c r="C9" s="95" t="str">
        <f xml:space="preserve"> "CCY1 IR ("&amp;LEFT(B3,3)&amp;")"</f>
        <v>CCY1 IR (NVD)</v>
      </c>
      <c r="D9" s="99">
        <v>0</v>
      </c>
      <c r="E9" s="93">
        <f>S*EXP((IR-D9)*T)</f>
        <v>150</v>
      </c>
      <c r="F9">
        <f>LN(fw/S)/T</f>
        <v>-0.18232155679395459</v>
      </c>
      <c r="AD9" s="43">
        <v>133</v>
      </c>
      <c r="AE9" s="43">
        <v>6.4223227545830132E-41</v>
      </c>
      <c r="AF9" s="43">
        <f t="shared" si="0"/>
        <v>0</v>
      </c>
    </row>
    <row r="10" spans="2:32" ht="17" thickBot="1" x14ac:dyDescent="0.25">
      <c r="B10" s="96" t="s">
        <v>65</v>
      </c>
      <c r="C10" s="97" t="str">
        <f xml:space="preserve"> "CCY1 IR ("&amp;RIGHT(B3,3)&amp;")"</f>
        <v>CCY1 IR (USD)</v>
      </c>
      <c r="D10" s="98">
        <v>0</v>
      </c>
      <c r="E10" s="93"/>
      <c r="AD10" s="43">
        <v>134</v>
      </c>
      <c r="AE10" s="43">
        <v>2.5602115663834994E-36</v>
      </c>
      <c r="AF10" s="43">
        <f t="shared" si="0"/>
        <v>0</v>
      </c>
    </row>
    <row r="11" spans="2:32" x14ac:dyDescent="0.2">
      <c r="B11" s="7" t="s">
        <v>10</v>
      </c>
      <c r="C11" s="90">
        <f>(LN(S/K)+(IR-IRD+(Sigma^2)/2)*T/252)/(Sigma*SQRT(T/252))</f>
        <v>4.5670707155281622E-3</v>
      </c>
      <c r="D11" s="91"/>
      <c r="AD11" s="43">
        <v>135</v>
      </c>
      <c r="AE11" s="43">
        <v>4.8912188923248199E-32</v>
      </c>
      <c r="AF11" s="43">
        <f t="shared" si="0"/>
        <v>0</v>
      </c>
    </row>
    <row r="12" spans="2:32" x14ac:dyDescent="0.2">
      <c r="B12" s="8" t="s">
        <v>11</v>
      </c>
      <c r="C12" s="80">
        <f>dOne-Sigma*SQRT(T/252)</f>
        <v>-4.5670707155281622E-3</v>
      </c>
      <c r="D12" s="81"/>
      <c r="F12">
        <f>Sigma*2.4</f>
        <v>0.34799999999999998</v>
      </c>
      <c r="K12">
        <f>10.74/24</f>
        <v>0.44750000000000001</v>
      </c>
      <c r="AD12" s="43">
        <v>136</v>
      </c>
      <c r="AE12" s="43">
        <v>4.5542162371959633E-28</v>
      </c>
      <c r="AF12" s="43">
        <f t="shared" si="0"/>
        <v>0</v>
      </c>
    </row>
    <row r="13" spans="2:32" x14ac:dyDescent="0.2">
      <c r="B13" s="8" t="s">
        <v>14</v>
      </c>
      <c r="C13" s="80">
        <f>NORMDIST(dOne,0,1,TRUE)</f>
        <v>0.50182199127211524</v>
      </c>
      <c r="D13" s="81"/>
      <c r="AD13" s="43">
        <v>137</v>
      </c>
      <c r="AE13" s="43">
        <v>2.1011819898363252E-24</v>
      </c>
      <c r="AF13" s="43">
        <f t="shared" si="0"/>
        <v>0</v>
      </c>
    </row>
    <row r="14" spans="2:32" ht="17" thickBot="1" x14ac:dyDescent="0.25">
      <c r="B14" s="9" t="s">
        <v>15</v>
      </c>
      <c r="C14" s="82">
        <f>NORMDIST(dTwo,0,1,TRUE)</f>
        <v>0.49817800872788476</v>
      </c>
      <c r="D14" s="83"/>
      <c r="AD14" s="43">
        <v>138</v>
      </c>
      <c r="AE14" s="43">
        <v>4.8830895463220044E-21</v>
      </c>
      <c r="AF14" s="43">
        <f t="shared" si="0"/>
        <v>0</v>
      </c>
    </row>
    <row r="15" spans="2:32" x14ac:dyDescent="0.2">
      <c r="B15" s="10"/>
      <c r="H15" s="92" t="s">
        <v>77</v>
      </c>
      <c r="I15" s="92"/>
      <c r="AD15" s="43">
        <v>139</v>
      </c>
      <c r="AE15" s="43">
        <v>5.810327120846953E-18</v>
      </c>
      <c r="AF15" s="43">
        <f t="shared" si="0"/>
        <v>0</v>
      </c>
    </row>
    <row r="16" spans="2:32" ht="17" thickBot="1" x14ac:dyDescent="0.25">
      <c r="C16" t="s">
        <v>67</v>
      </c>
      <c r="D16" t="s">
        <v>68</v>
      </c>
      <c r="G16" t="s">
        <v>17</v>
      </c>
      <c r="H16" t="s">
        <v>81</v>
      </c>
      <c r="I16" s="25" t="s">
        <v>80</v>
      </c>
      <c r="AD16" s="43">
        <v>140</v>
      </c>
      <c r="AE16" s="43">
        <v>3.5982413849372497E-15</v>
      </c>
      <c r="AF16" s="43">
        <f t="shared" si="0"/>
        <v>0</v>
      </c>
    </row>
    <row r="17" spans="1:32" ht="17" thickBot="1" x14ac:dyDescent="0.25">
      <c r="B17" s="11" t="s">
        <v>12</v>
      </c>
      <c r="C17" s="5">
        <f>(S*EXP(-IRD*T)*ndOne-K*EXP(-IR*T)*ndTwo)</f>
        <v>0.5465973816345695</v>
      </c>
      <c r="D17" s="5">
        <f>CallPrice/S</f>
        <v>3.6439825442304632E-3</v>
      </c>
      <c r="F17" s="104" t="s">
        <v>78</v>
      </c>
      <c r="G17">
        <f>CallPrice+PutPrice</f>
        <v>1.093194763269139</v>
      </c>
      <c r="H17" s="103">
        <f>(G17+S)-S</f>
        <v>1.093194763269139</v>
      </c>
      <c r="I17" s="25">
        <f>(S+G17)/S-1</f>
        <v>7.2879650884609681E-3</v>
      </c>
      <c r="J17">
        <f>I17/Sigma</f>
        <v>5.026182819628254E-2</v>
      </c>
      <c r="AD17" s="43">
        <v>141</v>
      </c>
      <c r="AE17" s="43">
        <v>1.1791085938416131E-12</v>
      </c>
      <c r="AF17" s="43">
        <f t="shared" si="0"/>
        <v>0</v>
      </c>
    </row>
    <row r="18" spans="1:32" ht="17" thickBot="1" x14ac:dyDescent="0.25">
      <c r="B18" s="12" t="s">
        <v>13</v>
      </c>
      <c r="C18" s="6">
        <f>CallPrice-S+K*EXP(-IR*T)</f>
        <v>0.5465973816345695</v>
      </c>
      <c r="D18" s="5">
        <f>CallPrice/S</f>
        <v>3.6439825442304632E-3</v>
      </c>
      <c r="AD18" s="43">
        <v>142</v>
      </c>
      <c r="AE18" s="43">
        <v>2.0794766888189795E-10</v>
      </c>
      <c r="AF18" s="43">
        <f t="shared" si="0"/>
        <v>0</v>
      </c>
    </row>
    <row r="19" spans="1:32" ht="17" thickBot="1" x14ac:dyDescent="0.25">
      <c r="AD19" s="43">
        <v>143</v>
      </c>
      <c r="AE19" s="43">
        <v>2.0088999104435389E-8</v>
      </c>
      <c r="AF19" s="43">
        <f t="shared" si="0"/>
        <v>0</v>
      </c>
    </row>
    <row r="20" spans="1:32" x14ac:dyDescent="0.2">
      <c r="B20" s="44"/>
      <c r="C20" s="45" t="s">
        <v>51</v>
      </c>
      <c r="D20" s="45" t="s">
        <v>52</v>
      </c>
      <c r="E20" s="45" t="s">
        <v>53</v>
      </c>
      <c r="F20" s="45" t="s">
        <v>55</v>
      </c>
      <c r="G20" s="46" t="s">
        <v>54</v>
      </c>
      <c r="AD20" s="43">
        <v>144</v>
      </c>
      <c r="AE20" s="43">
        <v>1.0832537452975903E-6</v>
      </c>
      <c r="AF20" s="43">
        <f t="shared" si="0"/>
        <v>0</v>
      </c>
    </row>
    <row r="21" spans="1:32" x14ac:dyDescent="0.2">
      <c r="A21" s="43" t="s">
        <v>49</v>
      </c>
      <c r="B21" s="47" t="s">
        <v>47</v>
      </c>
      <c r="C21" s="49">
        <f>OptionDelta(A21,S,K,T,IR,Sigma,0)</f>
        <v>0.52889799726469555</v>
      </c>
      <c r="D21" s="49">
        <f>OptionGamma(S,K,T,IR,Sigma,0)</f>
        <v>1.8294031575628554E-2</v>
      </c>
      <c r="E21" s="49" cm="1">
        <f t="array" ref="E21">OptionTheta(A21,S,K,T,IR,Sigma,0)</f>
        <v>-1.1855096318144907E-2</v>
      </c>
      <c r="F21" s="49">
        <f>S*SQRT(T)*_xlfn.NORM.S.DIST(dOne,FALSE)</f>
        <v>59.840717974075964</v>
      </c>
      <c r="G21" s="50" cm="1">
        <f t="array" ref="G21">OptionRho(A21,S,K,T,IR,Sigma,0)</f>
        <v>0.70665300410295662</v>
      </c>
      <c r="AD21" s="43">
        <v>145</v>
      </c>
      <c r="AE21" s="43">
        <v>3.3282512007459797E-5</v>
      </c>
      <c r="AF21" s="43">
        <f t="shared" ref="AF21:AF52" si="1">MAX(AD21-K,0)</f>
        <v>0</v>
      </c>
    </row>
    <row r="22" spans="1:32" ht="17" thickBot="1" x14ac:dyDescent="0.25">
      <c r="A22" s="43" t="s">
        <v>50</v>
      </c>
      <c r="B22" s="48" t="s">
        <v>48</v>
      </c>
      <c r="C22" s="51">
        <f>OptionDelta(A22,S,K,T,IR,Sigma,0)</f>
        <v>-0.47110200273530445</v>
      </c>
      <c r="D22" s="51">
        <f>OptionGamma(S,K,T,IR,Sigma,0)</f>
        <v>1.8294031575628554E-2</v>
      </c>
      <c r="E22" s="51" cm="1">
        <f t="array" ref="E22">OptionTheta(A22,S,K,T,IR,Sigma,0)</f>
        <v>-1.1855096318144907E-2</v>
      </c>
      <c r="F22" s="51">
        <f>S*SQRT(T)*_xlfn.NORM.S.DIST(dOne,FALSE)</f>
        <v>59.840717974075964</v>
      </c>
      <c r="G22" s="52" cm="1">
        <f t="array" ref="G22">OptionRho(A22,S,K,T,IR,Sigma,0)</f>
        <v>-0.79334699589704338</v>
      </c>
      <c r="AD22" s="43">
        <v>146</v>
      </c>
      <c r="AE22" s="43">
        <v>5.9645303076430456E-4</v>
      </c>
      <c r="AF22" s="43">
        <f t="shared" ref="AF22:AF53" si="2">MAX(AD22-K,0)</f>
        <v>0</v>
      </c>
    </row>
    <row r="23" spans="1:32" x14ac:dyDescent="0.2">
      <c r="C23" s="53"/>
      <c r="AD23" s="43">
        <v>147</v>
      </c>
      <c r="AE23" s="43">
        <v>6.4096148470920156E-3</v>
      </c>
      <c r="AF23" s="43">
        <f t="shared" si="2"/>
        <v>0</v>
      </c>
    </row>
    <row r="24" spans="1:32" x14ac:dyDescent="0.2">
      <c r="D24" s="53">
        <f>_xlfn.NORM.S.DIST(dOne,FALSE)/(S*Sigma*SQRT(T))</f>
        <v>1.8341982520789567E-2</v>
      </c>
      <c r="E24" s="53">
        <f>(-S*_xlfn.NORM.S.DIST(dOne,FALSE)*Sigma)/(2*SQRT(T))</f>
        <v>-4.3384520531205073</v>
      </c>
      <c r="F24" s="53"/>
      <c r="AD24" s="43">
        <v>148</v>
      </c>
      <c r="AE24" s="43">
        <v>4.2737088163811165E-2</v>
      </c>
      <c r="AF24" s="43">
        <f t="shared" si="2"/>
        <v>0</v>
      </c>
    </row>
    <row r="25" spans="1:32" x14ac:dyDescent="0.2">
      <c r="D25" s="53">
        <f>_xlfn.NORM.S.DIST(dOne,FALSE)/(S*Sigma*SQRT(T))</f>
        <v>1.8341982520789567E-2</v>
      </c>
      <c r="E25" s="53">
        <f>-IR*K*EXP(-IR*T)*_xlfn.NORM.S.DIST(dTwo,TRUE)</f>
        <v>0</v>
      </c>
      <c r="F25" s="53"/>
      <c r="AD25" s="43">
        <v>149</v>
      </c>
      <c r="AE25" s="43">
        <v>0.18465378865842297</v>
      </c>
      <c r="AF25" s="43">
        <f t="shared" si="2"/>
        <v>0</v>
      </c>
    </row>
    <row r="26" spans="1:32" x14ac:dyDescent="0.2">
      <c r="B26">
        <v>122</v>
      </c>
      <c r="AD26" s="43">
        <v>150</v>
      </c>
      <c r="AE26" s="43">
        <v>0.5465973816345695</v>
      </c>
      <c r="AF26" s="43">
        <f t="shared" si="2"/>
        <v>0</v>
      </c>
    </row>
    <row r="27" spans="1:32" ht="17" thickBot="1" x14ac:dyDescent="0.25">
      <c r="C27" s="72" t="s">
        <v>44</v>
      </c>
      <c r="D27" s="72"/>
      <c r="E27" s="72"/>
      <c r="F27" s="72"/>
      <c r="G27" s="72"/>
      <c r="H27" s="72"/>
      <c r="I27" s="72"/>
      <c r="J27" s="72"/>
      <c r="K27" s="72"/>
      <c r="AD27" s="43">
        <v>151</v>
      </c>
      <c r="AE27" s="43">
        <v>1.1874456961477762</v>
      </c>
      <c r="AF27" s="43">
        <f t="shared" si="2"/>
        <v>1</v>
      </c>
    </row>
    <row r="28" spans="1:32" x14ac:dyDescent="0.2">
      <c r="B28" s="28">
        <f>CallPrice</f>
        <v>0.5465973816345695</v>
      </c>
      <c r="C28" s="29" cm="1">
        <f t="array" ref="C28:K28">TRANSPOSE(_xlfn.SEQUENCE(9,,B26,5))</f>
        <v>122</v>
      </c>
      <c r="D28" s="29">
        <v>127</v>
      </c>
      <c r="E28" s="29">
        <v>132</v>
      </c>
      <c r="F28" s="29">
        <v>137</v>
      </c>
      <c r="G28" s="29">
        <v>142</v>
      </c>
      <c r="H28" s="29">
        <v>147</v>
      </c>
      <c r="I28" s="29">
        <v>152</v>
      </c>
      <c r="J28" s="29">
        <v>157</v>
      </c>
      <c r="K28" s="30">
        <v>162</v>
      </c>
      <c r="AD28" s="43">
        <v>152</v>
      </c>
      <c r="AE28" s="43">
        <v>2.0452483570414302</v>
      </c>
      <c r="AF28" s="43">
        <f t="shared" ref="AF28:AF59" si="3">MAX(AD28-K,0)</f>
        <v>2</v>
      </c>
    </row>
    <row r="29" spans="1:32" ht="16" customHeight="1" x14ac:dyDescent="0.2">
      <c r="A29" s="71" t="s">
        <v>45</v>
      </c>
      <c r="B29" s="31" cm="1">
        <f t="array" ref="B29:B37">_xlfn.SEQUENCE(9,,0.001,5%)</f>
        <v>1E-3</v>
      </c>
      <c r="C29" s="26">
        <f t="dataTable" ref="C29:K37" dt2D="1" dtr="1" r1="D5" r2="D7" ca="1"/>
        <v>28</v>
      </c>
      <c r="D29" s="26">
        <v>23</v>
      </c>
      <c r="E29" s="26">
        <v>18</v>
      </c>
      <c r="F29" s="33">
        <v>13</v>
      </c>
      <c r="G29" s="33">
        <v>8</v>
      </c>
      <c r="H29" s="33">
        <v>3</v>
      </c>
      <c r="I29" s="33">
        <v>0</v>
      </c>
      <c r="J29" s="33">
        <v>0</v>
      </c>
      <c r="K29" s="34">
        <v>0</v>
      </c>
      <c r="AD29" s="43">
        <v>153</v>
      </c>
      <c r="AE29" s="43">
        <v>3.0074041731819534</v>
      </c>
      <c r="AF29" s="43">
        <f t="shared" ref="AF29:AF60" si="4">MAX(AD29-K,0)</f>
        <v>3</v>
      </c>
    </row>
    <row r="30" spans="1:32" x14ac:dyDescent="0.2">
      <c r="A30" s="71"/>
      <c r="B30" s="31">
        <v>5.1000000000000004E-2</v>
      </c>
      <c r="C30" s="26">
        <v>28</v>
      </c>
      <c r="D30" s="26">
        <v>23</v>
      </c>
      <c r="E30" s="26">
        <v>18</v>
      </c>
      <c r="F30" s="33">
        <v>13</v>
      </c>
      <c r="G30" s="33">
        <v>8</v>
      </c>
      <c r="H30" s="33">
        <v>3.0000000000116245</v>
      </c>
      <c r="I30" s="33">
        <v>1.9976063609559135E-6</v>
      </c>
      <c r="J30" s="33">
        <v>1.6453966864715403E-47</v>
      </c>
      <c r="K30" s="34">
        <v>8.4825459995630299E-129</v>
      </c>
      <c r="AD30" s="43">
        <v>154</v>
      </c>
      <c r="AE30" s="43">
        <v>4.0008021599168728</v>
      </c>
      <c r="AF30" s="43">
        <f t="shared" si="4"/>
        <v>4</v>
      </c>
    </row>
    <row r="31" spans="1:32" x14ac:dyDescent="0.2">
      <c r="A31" s="71"/>
      <c r="B31" s="31">
        <v>0.10100000000000001</v>
      </c>
      <c r="C31" s="26">
        <v>28</v>
      </c>
      <c r="D31" s="26">
        <v>23</v>
      </c>
      <c r="E31" s="26">
        <v>18</v>
      </c>
      <c r="F31" s="33">
        <v>13</v>
      </c>
      <c r="G31" s="33">
        <v>8</v>
      </c>
      <c r="H31" s="33">
        <v>3.0001917357527645</v>
      </c>
      <c r="I31" s="33">
        <v>6.5335968349384821E-3</v>
      </c>
      <c r="J31" s="33">
        <v>4.9704224677169033E-14</v>
      </c>
      <c r="K31" s="34">
        <v>4.4734504409998976E-35</v>
      </c>
      <c r="AD31" s="43">
        <v>155</v>
      </c>
      <c r="AE31" s="43">
        <v>5.0000567752313145</v>
      </c>
      <c r="AF31" s="43">
        <f t="shared" si="4"/>
        <v>5</v>
      </c>
    </row>
    <row r="32" spans="1:32" x14ac:dyDescent="0.2">
      <c r="A32" s="71"/>
      <c r="B32" s="31">
        <v>0.15100000000000002</v>
      </c>
      <c r="C32" s="26">
        <v>28</v>
      </c>
      <c r="D32" s="33">
        <v>23</v>
      </c>
      <c r="E32" s="33">
        <v>18</v>
      </c>
      <c r="F32" s="33">
        <v>13</v>
      </c>
      <c r="G32" s="33">
        <v>8.0000000009488303</v>
      </c>
      <c r="H32" s="33">
        <v>3.0085507725308673</v>
      </c>
      <c r="I32" s="26">
        <v>5.3546602852300396E-2</v>
      </c>
      <c r="J32" s="33">
        <v>2.2967660314051307E-7</v>
      </c>
      <c r="K32" s="34">
        <v>5.2746757912656405E-17</v>
      </c>
      <c r="AD32" s="43">
        <v>156</v>
      </c>
      <c r="AE32" s="43">
        <v>6.0000026083453974</v>
      </c>
      <c r="AF32" s="43">
        <f t="shared" si="4"/>
        <v>6</v>
      </c>
    </row>
    <row r="33" spans="1:32" x14ac:dyDescent="0.2">
      <c r="A33" s="71"/>
      <c r="B33" s="31">
        <v>0.20100000000000001</v>
      </c>
      <c r="C33" s="33">
        <v>28</v>
      </c>
      <c r="D33" s="33">
        <v>23</v>
      </c>
      <c r="E33" s="33">
        <v>18</v>
      </c>
      <c r="F33" s="33">
        <v>13.000000000000085</v>
      </c>
      <c r="G33" s="33">
        <v>8.0000029276237967</v>
      </c>
      <c r="H33" s="33">
        <v>3.0441577765150498</v>
      </c>
      <c r="I33" s="26">
        <v>0.14579521735282341</v>
      </c>
      <c r="J33" s="33">
        <v>7.5313889768131165E-5</v>
      </c>
      <c r="K33" s="34">
        <v>1.8786214679138261E-10</v>
      </c>
      <c r="AD33" s="43">
        <v>157</v>
      </c>
      <c r="AE33" s="43">
        <v>7.0000000776315972</v>
      </c>
      <c r="AF33" s="43">
        <f t="shared" si="4"/>
        <v>7</v>
      </c>
    </row>
    <row r="34" spans="1:32" x14ac:dyDescent="0.2">
      <c r="A34" s="71"/>
      <c r="B34" s="31">
        <v>0.251</v>
      </c>
      <c r="C34" s="33">
        <v>28</v>
      </c>
      <c r="D34" s="33">
        <v>23</v>
      </c>
      <c r="E34" s="33">
        <v>18</v>
      </c>
      <c r="F34" s="33">
        <v>13.000000001841727</v>
      </c>
      <c r="G34" s="33">
        <v>8.0001541973658448</v>
      </c>
      <c r="H34" s="33">
        <v>3.1120565021277002</v>
      </c>
      <c r="I34" s="33">
        <v>0.26840828635932468</v>
      </c>
      <c r="J34" s="33">
        <v>1.3855724591841923E-3</v>
      </c>
      <c r="K34" s="34">
        <v>2.6606177708649861E-7</v>
      </c>
      <c r="AD34" s="43">
        <v>158</v>
      </c>
      <c r="AE34" s="43">
        <v>8.0000000014983925</v>
      </c>
      <c r="AF34" s="43">
        <f t="shared" si="4"/>
        <v>8</v>
      </c>
    </row>
    <row r="35" spans="1:32" x14ac:dyDescent="0.2">
      <c r="A35" s="71"/>
      <c r="B35" s="31">
        <v>0.30099999999999999</v>
      </c>
      <c r="C35" s="26">
        <v>28</v>
      </c>
      <c r="D35" s="26">
        <v>23</v>
      </c>
      <c r="E35" s="26">
        <v>18.000000000002984</v>
      </c>
      <c r="F35" s="33">
        <v>13.000000459613858</v>
      </c>
      <c r="G35" s="33">
        <v>8.0015484798786076</v>
      </c>
      <c r="H35" s="33">
        <v>3.2067568922566636</v>
      </c>
      <c r="I35" s="33">
        <v>0.41007510597713548</v>
      </c>
      <c r="J35" s="33">
        <v>7.7862872712579634E-3</v>
      </c>
      <c r="K35" s="34">
        <v>1.6242839071939179E-5</v>
      </c>
      <c r="AD35" s="43">
        <v>159</v>
      </c>
      <c r="AE35" s="43">
        <v>9.0000000000188436</v>
      </c>
      <c r="AF35" s="43">
        <f t="shared" si="4"/>
        <v>9</v>
      </c>
    </row>
    <row r="36" spans="1:32" x14ac:dyDescent="0.2">
      <c r="A36" s="71"/>
      <c r="B36" s="31">
        <v>0.35099999999999998</v>
      </c>
      <c r="C36" s="26">
        <v>28</v>
      </c>
      <c r="D36" s="26">
        <v>23.000000000000014</v>
      </c>
      <c r="E36" s="26">
        <v>18.000000001888026</v>
      </c>
      <c r="F36" s="33">
        <v>13.000014472694346</v>
      </c>
      <c r="G36" s="33">
        <v>8.006905023760936</v>
      </c>
      <c r="H36" s="33">
        <v>3.3215373934079082</v>
      </c>
      <c r="I36" s="33">
        <v>0.56400870876073839</v>
      </c>
      <c r="J36" s="33">
        <v>2.4307362819819378E-2</v>
      </c>
      <c r="K36" s="34">
        <v>2.1762271038332226E-4</v>
      </c>
      <c r="AD36" s="43">
        <v>160</v>
      </c>
      <c r="AE36" s="43">
        <v>10.000000000000171</v>
      </c>
      <c r="AF36" s="43">
        <f t="shared" si="4"/>
        <v>10</v>
      </c>
    </row>
    <row r="37" spans="1:32" ht="17" thickBot="1" x14ac:dyDescent="0.25">
      <c r="A37" s="71"/>
      <c r="B37" s="32">
        <v>0.40099999999999997</v>
      </c>
      <c r="C37" s="27">
        <v>27.999999999999986</v>
      </c>
      <c r="D37" s="27">
        <v>23.000000000011227</v>
      </c>
      <c r="E37" s="27">
        <v>18.000000137080093</v>
      </c>
      <c r="F37" s="35">
        <v>13.000148234219751</v>
      </c>
      <c r="G37" s="35">
        <v>8.0196294362378922</v>
      </c>
      <c r="H37" s="35">
        <v>3.4510597714609759</v>
      </c>
      <c r="I37" s="35">
        <v>0.72616822947691162</v>
      </c>
      <c r="J37" s="35">
        <v>5.4561144381930937E-2</v>
      </c>
      <c r="K37" s="36">
        <v>1.274760253731716E-3</v>
      </c>
      <c r="AD37" s="43">
        <v>161</v>
      </c>
      <c r="AE37" s="43">
        <v>11</v>
      </c>
      <c r="AF37" s="43">
        <f t="shared" si="4"/>
        <v>11</v>
      </c>
    </row>
    <row r="38" spans="1:32" x14ac:dyDescent="0.2">
      <c r="AD38" s="43">
        <v>162</v>
      </c>
      <c r="AE38" s="43">
        <v>12</v>
      </c>
      <c r="AF38" s="43">
        <f t="shared" ref="AF38:AF55" si="5">MAX(AD38-K,0)</f>
        <v>12</v>
      </c>
    </row>
    <row r="39" spans="1:32" x14ac:dyDescent="0.2">
      <c r="AD39" s="43">
        <v>163</v>
      </c>
      <c r="AE39" s="43">
        <v>13</v>
      </c>
      <c r="AF39" s="43">
        <f t="shared" si="5"/>
        <v>13</v>
      </c>
    </row>
    <row r="40" spans="1:32" ht="17" thickBot="1" x14ac:dyDescent="0.25">
      <c r="C40" s="72" t="s">
        <v>46</v>
      </c>
      <c r="D40" s="72"/>
      <c r="E40" s="72"/>
      <c r="F40" s="72"/>
      <c r="G40" s="72"/>
      <c r="H40" s="72"/>
      <c r="I40" s="72"/>
      <c r="J40" s="72"/>
      <c r="K40" s="72"/>
      <c r="AD40" s="43">
        <v>164</v>
      </c>
      <c r="AE40" s="43">
        <v>14</v>
      </c>
      <c r="AF40" s="43">
        <f t="shared" si="5"/>
        <v>14</v>
      </c>
    </row>
    <row r="41" spans="1:32" x14ac:dyDescent="0.2">
      <c r="B41" s="28">
        <f>CallPrice</f>
        <v>0.5465973816345695</v>
      </c>
      <c r="C41" s="29" cm="1">
        <f t="array" ref="C41:K41">TRANSPOSE(_xlfn.SEQUENCE(9,,C28,5))</f>
        <v>122</v>
      </c>
      <c r="D41" s="29">
        <v>127</v>
      </c>
      <c r="E41" s="29">
        <v>132</v>
      </c>
      <c r="F41" s="29">
        <v>137</v>
      </c>
      <c r="G41" s="29">
        <v>142</v>
      </c>
      <c r="H41" s="29">
        <v>147</v>
      </c>
      <c r="I41" s="29">
        <v>152</v>
      </c>
      <c r="J41" s="29">
        <v>157</v>
      </c>
      <c r="K41" s="30">
        <v>162</v>
      </c>
      <c r="AD41" s="43">
        <v>165</v>
      </c>
      <c r="AE41" s="43">
        <v>15</v>
      </c>
      <c r="AF41" s="43">
        <f t="shared" ref="AF41:AF58" si="6">MAX(AD41-K,0)</f>
        <v>15</v>
      </c>
    </row>
    <row r="42" spans="1:32" ht="16" customHeight="1" x14ac:dyDescent="0.2">
      <c r="A42" s="71" t="s">
        <v>45</v>
      </c>
      <c r="B42" s="31" cm="1">
        <f t="array" ref="B42:B50">_xlfn.SEQUENCE(9,,B29,5%)</f>
        <v>1E-3</v>
      </c>
      <c r="C42" s="26">
        <f t="dataTable" ref="C42:K50" dt2D="1" dtr="1" r1="D4" r2="D7"/>
        <v>0</v>
      </c>
      <c r="D42" s="26">
        <v>0</v>
      </c>
      <c r="E42" s="26">
        <v>0</v>
      </c>
      <c r="F42" s="33">
        <v>0</v>
      </c>
      <c r="G42" s="33">
        <v>0</v>
      </c>
      <c r="H42" s="33">
        <v>0</v>
      </c>
      <c r="I42" s="33">
        <v>2</v>
      </c>
      <c r="J42" s="33">
        <v>7</v>
      </c>
      <c r="K42" s="34">
        <v>12</v>
      </c>
      <c r="AD42" s="43">
        <v>166</v>
      </c>
      <c r="AE42" s="43">
        <v>16</v>
      </c>
      <c r="AF42" s="43">
        <f t="shared" ref="AF42:AF59" si="7">MAX(AD42-K,0)</f>
        <v>16</v>
      </c>
    </row>
    <row r="43" spans="1:32" x14ac:dyDescent="0.2">
      <c r="A43" s="71"/>
      <c r="B43" s="31">
        <v>5.1000000000000004E-2</v>
      </c>
      <c r="C43" s="26">
        <v>0</v>
      </c>
      <c r="D43" s="26">
        <v>0</v>
      </c>
      <c r="E43" s="26">
        <v>0</v>
      </c>
      <c r="F43" s="33">
        <v>2.9021492860457885E-177</v>
      </c>
      <c r="G43" s="33">
        <v>4.028858798431269E-67</v>
      </c>
      <c r="H43" s="33">
        <v>1.1617977495533373E-11</v>
      </c>
      <c r="I43" s="33">
        <v>2.0000019976063754</v>
      </c>
      <c r="J43" s="33">
        <v>7</v>
      </c>
      <c r="K43" s="34">
        <v>12</v>
      </c>
      <c r="AD43" s="43">
        <v>167</v>
      </c>
      <c r="AE43" s="43">
        <v>17</v>
      </c>
      <c r="AF43" s="43">
        <f t="shared" si="7"/>
        <v>17</v>
      </c>
    </row>
    <row r="44" spans="1:32" x14ac:dyDescent="0.2">
      <c r="A44" s="71"/>
      <c r="B44" s="31">
        <v>0.10100000000000001</v>
      </c>
      <c r="C44" s="26">
        <v>3.2579102009984512E-233</v>
      </c>
      <c r="D44" s="26">
        <v>1.2292166350590697E-152</v>
      </c>
      <c r="E44" s="26">
        <v>1.9221672780405306E-91</v>
      </c>
      <c r="F44" s="33">
        <v>1.4528395517549454E-47</v>
      </c>
      <c r="G44" s="33">
        <v>3.6936835267290867E-19</v>
      </c>
      <c r="H44" s="33">
        <v>1.9173575274630816E-4</v>
      </c>
      <c r="I44" s="33">
        <v>2.0065335968349416</v>
      </c>
      <c r="J44" s="33">
        <v>7.0000000000000568</v>
      </c>
      <c r="K44" s="34">
        <v>12</v>
      </c>
      <c r="AD44" s="43">
        <v>168</v>
      </c>
      <c r="AE44" s="43">
        <v>18</v>
      </c>
      <c r="AF44" s="43">
        <f t="shared" si="7"/>
        <v>18</v>
      </c>
    </row>
    <row r="45" spans="1:32" x14ac:dyDescent="0.2">
      <c r="A45" s="71"/>
      <c r="B45" s="31">
        <v>0.15100000000000002</v>
      </c>
      <c r="C45" s="26">
        <v>3.816355002100136E-106</v>
      </c>
      <c r="D45" s="33">
        <v>5.476170452136786E-70</v>
      </c>
      <c r="E45" s="33">
        <v>1.759294823699876E-42</v>
      </c>
      <c r="F45" s="33">
        <v>1.0972050477989416E-22</v>
      </c>
      <c r="G45" s="33">
        <v>9.4882533857880677E-10</v>
      </c>
      <c r="H45" s="33">
        <v>8.5507725308699989E-3</v>
      </c>
      <c r="I45" s="26">
        <v>2.0535466028523217</v>
      </c>
      <c r="J45" s="33">
        <v>7.0000002296765729</v>
      </c>
      <c r="K45" s="34">
        <v>12</v>
      </c>
      <c r="AD45" s="43">
        <v>169</v>
      </c>
      <c r="AE45" s="43">
        <v>19</v>
      </c>
      <c r="AF45" s="43">
        <f t="shared" si="7"/>
        <v>19</v>
      </c>
    </row>
    <row r="46" spans="1:32" x14ac:dyDescent="0.2">
      <c r="A46" s="71"/>
      <c r="B46" s="31">
        <v>0.20100000000000001</v>
      </c>
      <c r="C46" s="33">
        <v>3.8350592170465581E-61</v>
      </c>
      <c r="D46" s="33">
        <v>1.1840255044302742E-40</v>
      </c>
      <c r="E46" s="33">
        <v>4.9831717854133101E-25</v>
      </c>
      <c r="F46" s="33">
        <v>9.8853443632525708E-14</v>
      </c>
      <c r="G46" s="33">
        <v>2.9276237984881322E-6</v>
      </c>
      <c r="H46" s="33">
        <v>4.4157776515051594E-2</v>
      </c>
      <c r="I46" s="26">
        <v>2.145795217352827</v>
      </c>
      <c r="J46" s="33">
        <v>7.0000753138897664</v>
      </c>
      <c r="K46" s="34">
        <v>12.000000000187867</v>
      </c>
      <c r="AD46" s="43">
        <v>170</v>
      </c>
      <c r="AE46" s="43">
        <v>20</v>
      </c>
      <c r="AF46" s="43">
        <f t="shared" si="7"/>
        <v>20</v>
      </c>
    </row>
    <row r="47" spans="1:32" x14ac:dyDescent="0.2">
      <c r="A47" s="71"/>
      <c r="B47" s="31">
        <v>0.251</v>
      </c>
      <c r="C47" s="33">
        <v>4.0949412261670895E-40</v>
      </c>
      <c r="D47" s="33">
        <v>6.6057176077566434E-27</v>
      </c>
      <c r="E47" s="33">
        <v>8.3213251368135896E-17</v>
      </c>
      <c r="F47" s="33">
        <v>1.8417345777878669E-9</v>
      </c>
      <c r="G47" s="33">
        <v>1.5419736585553512E-4</v>
      </c>
      <c r="H47" s="33">
        <v>0.11205650212771445</v>
      </c>
      <c r="I47" s="33">
        <v>2.2684082863593318</v>
      </c>
      <c r="J47" s="33">
        <v>7.0013855724591849</v>
      </c>
      <c r="K47" s="34">
        <v>12.000000266061761</v>
      </c>
      <c r="AD47" s="43">
        <v>171</v>
      </c>
      <c r="AE47" s="43">
        <v>21</v>
      </c>
      <c r="AF47" s="43">
        <f t="shared" si="7"/>
        <v>21</v>
      </c>
    </row>
    <row r="48" spans="1:32" x14ac:dyDescent="0.2">
      <c r="A48" s="71"/>
      <c r="B48" s="31">
        <v>0.30099999999999999</v>
      </c>
      <c r="C48" s="26">
        <v>1.3841935827329457E-28</v>
      </c>
      <c r="D48" s="26">
        <v>2.4123367130863949E-19</v>
      </c>
      <c r="E48" s="26">
        <v>2.9714178117573399E-12</v>
      </c>
      <c r="F48" s="33">
        <v>4.5961385475805751E-7</v>
      </c>
      <c r="G48" s="33">
        <v>1.5484798786042364E-3</v>
      </c>
      <c r="H48" s="33">
        <v>0.20675689225664584</v>
      </c>
      <c r="I48" s="33">
        <v>2.4100751059771142</v>
      </c>
      <c r="J48" s="33">
        <v>7.0077862872712444</v>
      </c>
      <c r="K48" s="34">
        <v>12.000016242839052</v>
      </c>
      <c r="AD48" s="43">
        <v>172</v>
      </c>
      <c r="AE48" s="43">
        <v>22</v>
      </c>
      <c r="AF48" s="43">
        <f t="shared" si="7"/>
        <v>22</v>
      </c>
    </row>
    <row r="49" spans="1:32" x14ac:dyDescent="0.2">
      <c r="A49" s="71"/>
      <c r="B49" s="31">
        <v>0.35099999999999998</v>
      </c>
      <c r="C49" s="26">
        <v>1.4462692213152916E-21</v>
      </c>
      <c r="D49" s="26">
        <v>1.0113273772607876E-14</v>
      </c>
      <c r="E49" s="26">
        <v>1.8880448430968621E-9</v>
      </c>
      <c r="F49" s="33">
        <v>1.4472694349952284E-5</v>
      </c>
      <c r="G49" s="33">
        <v>6.9050237609338261E-3</v>
      </c>
      <c r="H49" s="33">
        <v>0.32153739340790466</v>
      </c>
      <c r="I49" s="33">
        <v>2.5640087087607242</v>
      </c>
      <c r="J49" s="33">
        <v>7.024307362819826</v>
      </c>
      <c r="K49" s="34">
        <v>12.000217622710409</v>
      </c>
      <c r="AD49" s="43">
        <v>173</v>
      </c>
      <c r="AE49" s="43">
        <v>23</v>
      </c>
      <c r="AF49" s="43">
        <f t="shared" si="7"/>
        <v>23</v>
      </c>
    </row>
    <row r="50" spans="1:32" ht="17" thickBot="1" x14ac:dyDescent="0.25">
      <c r="A50" s="71"/>
      <c r="B50" s="32">
        <v>0.40099999999999997</v>
      </c>
      <c r="C50" s="27">
        <v>5.7971026886617896E-17</v>
      </c>
      <c r="D50" s="27">
        <v>1.1209883494324707E-11</v>
      </c>
      <c r="E50" s="27">
        <v>1.3708010334130373E-7</v>
      </c>
      <c r="F50" s="35">
        <v>1.4823421975247372E-4</v>
      </c>
      <c r="G50" s="35">
        <v>1.9629436237902365E-2</v>
      </c>
      <c r="H50" s="35">
        <v>0.45105977146099363</v>
      </c>
      <c r="I50" s="35">
        <v>2.7261682294769116</v>
      </c>
      <c r="J50" s="35">
        <v>7.0545611443819212</v>
      </c>
      <c r="K50" s="36">
        <v>12.001274760253722</v>
      </c>
      <c r="AD50" s="43">
        <v>174</v>
      </c>
      <c r="AE50" s="43">
        <v>24</v>
      </c>
      <c r="AF50" s="43">
        <f t="shared" si="7"/>
        <v>24</v>
      </c>
    </row>
    <row r="51" spans="1:32" x14ac:dyDescent="0.2">
      <c r="AD51" s="43">
        <v>175</v>
      </c>
      <c r="AE51" s="43">
        <v>25</v>
      </c>
      <c r="AF51" s="43">
        <f t="shared" si="7"/>
        <v>25</v>
      </c>
    </row>
    <row r="52" spans="1:32" x14ac:dyDescent="0.2">
      <c r="AD52" s="43">
        <v>176</v>
      </c>
      <c r="AE52" s="43">
        <v>26</v>
      </c>
      <c r="AF52" s="43">
        <f t="shared" si="7"/>
        <v>26</v>
      </c>
    </row>
    <row r="53" spans="1:32" x14ac:dyDescent="0.2">
      <c r="C53" s="37">
        <f t="shared" ref="C53:K53" si="8">C42-CallPrice</f>
        <v>-0.5465973816345695</v>
      </c>
      <c r="D53" s="37">
        <f t="shared" si="8"/>
        <v>-0.5465973816345695</v>
      </c>
      <c r="E53" s="37">
        <f t="shared" si="8"/>
        <v>-0.5465973816345695</v>
      </c>
      <c r="F53" s="37">
        <f t="shared" si="8"/>
        <v>-0.5465973816345695</v>
      </c>
      <c r="G53" s="37">
        <f t="shared" si="8"/>
        <v>-0.5465973816345695</v>
      </c>
      <c r="H53" s="37">
        <f t="shared" si="8"/>
        <v>-0.5465973816345695</v>
      </c>
      <c r="I53" s="37">
        <f t="shared" si="8"/>
        <v>1.4534026183654305</v>
      </c>
      <c r="J53" s="37">
        <f t="shared" si="8"/>
        <v>6.4534026183654305</v>
      </c>
      <c r="K53" s="37">
        <f t="shared" si="8"/>
        <v>11.45340261836543</v>
      </c>
      <c r="AD53" s="43">
        <v>177</v>
      </c>
      <c r="AE53" s="43">
        <v>27</v>
      </c>
      <c r="AF53" s="43">
        <f t="shared" si="7"/>
        <v>27</v>
      </c>
    </row>
    <row r="54" spans="1:32" x14ac:dyDescent="0.2">
      <c r="C54" s="37">
        <f t="shared" ref="C54:K54" si="9">C43-CallPrice</f>
        <v>-0.5465973816345695</v>
      </c>
      <c r="D54" s="37">
        <f t="shared" si="9"/>
        <v>-0.5465973816345695</v>
      </c>
      <c r="E54" s="37">
        <f t="shared" si="9"/>
        <v>-0.5465973816345695</v>
      </c>
      <c r="F54" s="37">
        <f t="shared" si="9"/>
        <v>-0.5465973816345695</v>
      </c>
      <c r="G54" s="37">
        <f t="shared" si="9"/>
        <v>-0.5465973816345695</v>
      </c>
      <c r="H54" s="37">
        <f t="shared" si="9"/>
        <v>-0.54659738162295157</v>
      </c>
      <c r="I54" s="37">
        <f t="shared" si="9"/>
        <v>1.4534046159718059</v>
      </c>
      <c r="J54" s="37">
        <f t="shared" si="9"/>
        <v>6.4534026183654305</v>
      </c>
      <c r="K54" s="37">
        <f t="shared" si="9"/>
        <v>11.45340261836543</v>
      </c>
      <c r="AD54" s="43">
        <v>178</v>
      </c>
      <c r="AE54" s="43">
        <v>28</v>
      </c>
      <c r="AF54" s="43">
        <f t="shared" si="7"/>
        <v>28</v>
      </c>
    </row>
    <row r="55" spans="1:32" x14ac:dyDescent="0.2">
      <c r="C55" s="37">
        <f t="shared" ref="C55:K55" si="10">C44-CallPrice</f>
        <v>-0.5465973816345695</v>
      </c>
      <c r="D55" s="37">
        <f t="shared" si="10"/>
        <v>-0.5465973816345695</v>
      </c>
      <c r="E55" s="37">
        <f t="shared" si="10"/>
        <v>-0.5465973816345695</v>
      </c>
      <c r="F55" s="37">
        <f t="shared" si="10"/>
        <v>-0.5465973816345695</v>
      </c>
      <c r="G55" s="37">
        <f t="shared" si="10"/>
        <v>-0.5465973816345695</v>
      </c>
      <c r="H55" s="37">
        <f t="shared" si="10"/>
        <v>-0.54640564588182317</v>
      </c>
      <c r="I55" s="37">
        <f t="shared" si="10"/>
        <v>1.4599362152003721</v>
      </c>
      <c r="J55" s="37">
        <f t="shared" si="10"/>
        <v>6.4534026183654873</v>
      </c>
      <c r="K55" s="37">
        <f t="shared" si="10"/>
        <v>11.45340261836543</v>
      </c>
      <c r="AD55" s="43">
        <v>179</v>
      </c>
      <c r="AE55" s="43">
        <v>29</v>
      </c>
      <c r="AF55" s="43">
        <f t="shared" si="7"/>
        <v>29</v>
      </c>
    </row>
    <row r="56" spans="1:32" x14ac:dyDescent="0.2">
      <c r="C56" s="37">
        <f t="shared" ref="C56:K56" si="11">C45-CallPrice</f>
        <v>-0.5465973816345695</v>
      </c>
      <c r="D56" s="37">
        <f t="shared" si="11"/>
        <v>-0.5465973816345695</v>
      </c>
      <c r="E56" s="37">
        <f t="shared" si="11"/>
        <v>-0.5465973816345695</v>
      </c>
      <c r="F56" s="37">
        <f t="shared" si="11"/>
        <v>-0.5465973816345695</v>
      </c>
      <c r="G56" s="37">
        <f t="shared" si="11"/>
        <v>-0.54659738068574415</v>
      </c>
      <c r="H56" s="37">
        <f t="shared" si="11"/>
        <v>-0.5380466091036995</v>
      </c>
      <c r="I56" s="37">
        <f t="shared" si="11"/>
        <v>1.5069492212177522</v>
      </c>
      <c r="J56" s="37">
        <f t="shared" si="11"/>
        <v>6.4534028480420034</v>
      </c>
      <c r="K56" s="37">
        <f t="shared" si="11"/>
        <v>11.45340261836543</v>
      </c>
      <c r="AD56">
        <v>180</v>
      </c>
    </row>
    <row r="57" spans="1:32" x14ac:dyDescent="0.2">
      <c r="C57" s="37">
        <f t="shared" ref="C57:K57" si="12">C46-CallPrice</f>
        <v>-0.5465973816345695</v>
      </c>
      <c r="D57" s="37">
        <f t="shared" si="12"/>
        <v>-0.5465973816345695</v>
      </c>
      <c r="E57" s="37">
        <f t="shared" si="12"/>
        <v>-0.5465973816345695</v>
      </c>
      <c r="F57" s="37">
        <f t="shared" si="12"/>
        <v>-0.54659738163447069</v>
      </c>
      <c r="G57" s="37">
        <f t="shared" si="12"/>
        <v>-0.546594454010771</v>
      </c>
      <c r="H57" s="37">
        <f t="shared" si="12"/>
        <v>-0.50243960511951791</v>
      </c>
      <c r="I57" s="37">
        <f t="shared" si="12"/>
        <v>1.5991978357182575</v>
      </c>
      <c r="J57" s="37">
        <f t="shared" si="12"/>
        <v>6.4534779322551969</v>
      </c>
      <c r="K57" s="37">
        <f t="shared" si="12"/>
        <v>11.453402618553298</v>
      </c>
      <c r="AD57">
        <v>181</v>
      </c>
    </row>
    <row r="58" spans="1:32" x14ac:dyDescent="0.2">
      <c r="C58" s="37">
        <f t="shared" ref="C58:K58" si="13">C47-CallPrice</f>
        <v>-0.5465973816345695</v>
      </c>
      <c r="D58" s="37">
        <f t="shared" si="13"/>
        <v>-0.5465973816345695</v>
      </c>
      <c r="E58" s="37">
        <f t="shared" si="13"/>
        <v>-0.54659738163456939</v>
      </c>
      <c r="F58" s="37">
        <f t="shared" si="13"/>
        <v>-0.54659737979283496</v>
      </c>
      <c r="G58" s="37">
        <f t="shared" si="13"/>
        <v>-0.54644318426871397</v>
      </c>
      <c r="H58" s="37">
        <f t="shared" si="13"/>
        <v>-0.43454087950685505</v>
      </c>
      <c r="I58" s="37">
        <f t="shared" si="13"/>
        <v>1.7218109047247623</v>
      </c>
      <c r="J58" s="37">
        <f t="shared" si="13"/>
        <v>6.4547881908246154</v>
      </c>
      <c r="K58" s="37">
        <f t="shared" si="13"/>
        <v>11.453402884427192</v>
      </c>
      <c r="AD58">
        <v>182</v>
      </c>
    </row>
    <row r="59" spans="1:32" x14ac:dyDescent="0.2">
      <c r="C59" s="37">
        <f t="shared" ref="C59:K59" si="14">C48-CallPrice</f>
        <v>-0.5465973816345695</v>
      </c>
      <c r="D59" s="37">
        <f t="shared" si="14"/>
        <v>-0.5465973816345695</v>
      </c>
      <c r="E59" s="37">
        <f t="shared" si="14"/>
        <v>-0.5465973816315981</v>
      </c>
      <c r="F59" s="37">
        <f t="shared" si="14"/>
        <v>-0.54659692202071475</v>
      </c>
      <c r="G59" s="37">
        <f t="shared" si="14"/>
        <v>-0.54504890175596521</v>
      </c>
      <c r="H59" s="37">
        <f t="shared" si="14"/>
        <v>-0.33984048937792366</v>
      </c>
      <c r="I59" s="37">
        <f t="shared" si="14"/>
        <v>1.8634777243425447</v>
      </c>
      <c r="J59" s="37">
        <f t="shared" si="14"/>
        <v>6.4611889056366749</v>
      </c>
      <c r="K59" s="37">
        <f t="shared" si="14"/>
        <v>11.453418861204483</v>
      </c>
      <c r="AD59">
        <v>183</v>
      </c>
    </row>
    <row r="60" spans="1:32" x14ac:dyDescent="0.2">
      <c r="C60" s="37">
        <f t="shared" ref="C60:K60" si="15">C49-CallPrice</f>
        <v>-0.5465973816345695</v>
      </c>
      <c r="D60" s="37">
        <f t="shared" si="15"/>
        <v>-0.5465973816345594</v>
      </c>
      <c r="E60" s="37">
        <f t="shared" si="15"/>
        <v>-0.54659737974652467</v>
      </c>
      <c r="F60" s="37">
        <f t="shared" si="15"/>
        <v>-0.54658290894021955</v>
      </c>
      <c r="G60" s="37">
        <f t="shared" si="15"/>
        <v>-0.53969235787363568</v>
      </c>
      <c r="H60" s="37">
        <f t="shared" si="15"/>
        <v>-0.22505998822666484</v>
      </c>
      <c r="I60" s="37">
        <f t="shared" si="15"/>
        <v>2.0174113271261547</v>
      </c>
      <c r="J60" s="37">
        <f t="shared" si="15"/>
        <v>6.4777099811852565</v>
      </c>
      <c r="K60" s="37">
        <f t="shared" si="15"/>
        <v>11.453620241075839</v>
      </c>
      <c r="AD60">
        <v>184</v>
      </c>
    </row>
    <row r="61" spans="1:32" x14ac:dyDescent="0.2">
      <c r="C61" s="37">
        <f t="shared" ref="C61:K61" si="16">C50-CallPrice</f>
        <v>-0.54659738163456939</v>
      </c>
      <c r="D61" s="37">
        <f t="shared" si="16"/>
        <v>-0.54659738162335958</v>
      </c>
      <c r="E61" s="37">
        <f t="shared" si="16"/>
        <v>-0.54659724455446612</v>
      </c>
      <c r="F61" s="37">
        <f t="shared" si="16"/>
        <v>-0.54644914741481698</v>
      </c>
      <c r="G61" s="37">
        <f t="shared" si="16"/>
        <v>-0.52696794539666714</v>
      </c>
      <c r="H61" s="37">
        <f t="shared" si="16"/>
        <v>-9.5537610173575871E-2</v>
      </c>
      <c r="I61" s="37">
        <f t="shared" si="16"/>
        <v>2.1795708478423421</v>
      </c>
      <c r="J61" s="37">
        <f t="shared" si="16"/>
        <v>6.5079637627473517</v>
      </c>
      <c r="K61" s="37">
        <f t="shared" si="16"/>
        <v>11.454677378619152</v>
      </c>
      <c r="AD61">
        <v>185</v>
      </c>
    </row>
    <row r="62" spans="1:32" x14ac:dyDescent="0.2">
      <c r="C62" s="37"/>
      <c r="D62" s="37"/>
      <c r="E62" s="37"/>
      <c r="F62" s="37"/>
      <c r="G62" s="37"/>
      <c r="H62" s="37"/>
      <c r="I62" s="37"/>
      <c r="J62" s="37"/>
      <c r="K62" s="37"/>
      <c r="AD62">
        <v>186</v>
      </c>
    </row>
    <row r="63" spans="1:32" x14ac:dyDescent="0.2">
      <c r="C63" s="37"/>
      <c r="D63" s="37"/>
      <c r="E63" s="37"/>
      <c r="F63" s="37"/>
      <c r="G63" s="37"/>
      <c r="H63" s="37"/>
      <c r="I63" s="37"/>
      <c r="J63" s="37"/>
      <c r="K63" s="37"/>
      <c r="AD63">
        <v>187</v>
      </c>
    </row>
    <row r="64" spans="1:32" x14ac:dyDescent="0.2">
      <c r="AD64">
        <v>188</v>
      </c>
    </row>
    <row r="65" spans="5:30" x14ac:dyDescent="0.2">
      <c r="AD65">
        <v>189</v>
      </c>
    </row>
    <row r="66" spans="5:30" x14ac:dyDescent="0.2">
      <c r="F66">
        <f>OptionDelta("C",S,K,T,IR,Sigma,0)</f>
        <v>0.52889799726469555</v>
      </c>
      <c r="AD66">
        <v>190</v>
      </c>
    </row>
    <row r="67" spans="5:30" x14ac:dyDescent="0.2">
      <c r="E67" cm="1">
        <f t="array" ref="E67:E566">_xlfn.SEQUENCE(500,1,S,0.1)</f>
        <v>150</v>
      </c>
      <c r="F67">
        <f t="dataTable" ref="F67:F566" dt2D="0" dtr="0" r1="D5" ca="1"/>
        <v>0.52889799726469555</v>
      </c>
      <c r="G67" s="103" t="e">
        <f>VLOOKUP(D75,D67:E97,2,FALSE)</f>
        <v>#N/A</v>
      </c>
      <c r="AD67">
        <v>191</v>
      </c>
    </row>
    <row r="68" spans="5:30" x14ac:dyDescent="0.2">
      <c r="E68">
        <v>150.1</v>
      </c>
      <c r="F68">
        <v>0.527068905346465</v>
      </c>
      <c r="I68" t="s">
        <v>74</v>
      </c>
      <c r="J68">
        <v>4</v>
      </c>
      <c r="M68">
        <f>VLOOKUP("pear",I68:J70,2)</f>
        <v>4</v>
      </c>
      <c r="AD68">
        <v>192</v>
      </c>
    </row>
    <row r="69" spans="5:30" x14ac:dyDescent="0.2">
      <c r="E69">
        <v>150.19999999999999</v>
      </c>
      <c r="F69">
        <v>0.52524046122337364</v>
      </c>
      <c r="I69" t="s">
        <v>75</v>
      </c>
      <c r="J69">
        <v>3</v>
      </c>
      <c r="AD69">
        <v>193</v>
      </c>
    </row>
    <row r="70" spans="5:30" x14ac:dyDescent="0.2">
      <c r="E70">
        <v>150.29999999999998</v>
      </c>
      <c r="F70">
        <v>0.52341270278202034</v>
      </c>
      <c r="I70" t="s">
        <v>76</v>
      </c>
      <c r="J70">
        <v>4</v>
      </c>
      <c r="AD70">
        <v>194</v>
      </c>
    </row>
    <row r="71" spans="5:30" x14ac:dyDescent="0.2">
      <c r="E71">
        <v>150.39999999999998</v>
      </c>
      <c r="F71">
        <v>0.5215856677898778</v>
      </c>
      <c r="AD71">
        <v>195</v>
      </c>
    </row>
    <row r="72" spans="5:30" x14ac:dyDescent="0.2">
      <c r="E72">
        <v>150.49999999999997</v>
      </c>
      <c r="F72">
        <v>0.51975939389325365</v>
      </c>
      <c r="AD72">
        <v>196</v>
      </c>
    </row>
    <row r="73" spans="5:30" x14ac:dyDescent="0.2">
      <c r="E73">
        <v>150.59999999999997</v>
      </c>
      <c r="F73">
        <v>0.51793391861527383</v>
      </c>
      <c r="AD73">
        <v>197</v>
      </c>
    </row>
    <row r="74" spans="5:30" x14ac:dyDescent="0.2">
      <c r="E74">
        <v>150.69999999999996</v>
      </c>
      <c r="F74">
        <v>0.51610927935388407</v>
      </c>
      <c r="AD74">
        <v>198</v>
      </c>
    </row>
    <row r="75" spans="5:30" x14ac:dyDescent="0.2">
      <c r="E75">
        <v>150.79999999999995</v>
      </c>
      <c r="F75">
        <v>0.51428551337987249</v>
      </c>
      <c r="AD75">
        <v>199</v>
      </c>
    </row>
    <row r="76" spans="5:30" x14ac:dyDescent="0.2">
      <c r="E76">
        <v>150.89999999999995</v>
      </c>
      <c r="F76">
        <v>0.51246265783490852</v>
      </c>
      <c r="AD76">
        <v>200</v>
      </c>
    </row>
    <row r="77" spans="5:30" x14ac:dyDescent="0.2">
      <c r="E77">
        <v>150.99999999999994</v>
      </c>
      <c r="F77">
        <v>0.51064074972960716</v>
      </c>
      <c r="AD77">
        <v>201</v>
      </c>
    </row>
    <row r="78" spans="5:30" x14ac:dyDescent="0.2">
      <c r="E78">
        <v>151.09999999999994</v>
      </c>
      <c r="F78">
        <v>0.50881982594160791</v>
      </c>
      <c r="AD78">
        <v>202</v>
      </c>
    </row>
    <row r="79" spans="5:30" x14ac:dyDescent="0.2">
      <c r="E79">
        <v>151.19999999999993</v>
      </c>
      <c r="F79">
        <v>0.50699992321367726</v>
      </c>
      <c r="AD79">
        <v>203</v>
      </c>
    </row>
    <row r="80" spans="5:30" x14ac:dyDescent="0.2">
      <c r="E80">
        <v>151.29999999999993</v>
      </c>
      <c r="F80">
        <v>0.50518107815183</v>
      </c>
      <c r="AD80">
        <v>204</v>
      </c>
    </row>
    <row r="81" spans="5:30" x14ac:dyDescent="0.2">
      <c r="E81">
        <v>151.39999999999992</v>
      </c>
      <c r="F81">
        <v>0.50336332722347032</v>
      </c>
      <c r="AD81">
        <v>205</v>
      </c>
    </row>
    <row r="82" spans="5:30" x14ac:dyDescent="0.2">
      <c r="E82">
        <v>151.49999999999991</v>
      </c>
      <c r="F82">
        <v>0.50154670675555502</v>
      </c>
      <c r="AD82">
        <v>206</v>
      </c>
    </row>
    <row r="83" spans="5:30" x14ac:dyDescent="0.2">
      <c r="E83">
        <v>151.59999999999991</v>
      </c>
      <c r="F83">
        <v>0.49973125293277593</v>
      </c>
      <c r="AD83">
        <v>207</v>
      </c>
    </row>
    <row r="84" spans="5:30" x14ac:dyDescent="0.2">
      <c r="E84">
        <v>151.6999999999999</v>
      </c>
      <c r="F84">
        <v>0.49791700179576187</v>
      </c>
      <c r="AD84">
        <v>208</v>
      </c>
    </row>
    <row r="85" spans="5:30" x14ac:dyDescent="0.2">
      <c r="E85">
        <v>151.7999999999999</v>
      </c>
      <c r="F85">
        <v>0.49610398923930438</v>
      </c>
      <c r="AD85">
        <v>209</v>
      </c>
    </row>
    <row r="86" spans="5:30" x14ac:dyDescent="0.2">
      <c r="E86">
        <v>151.89999999999989</v>
      </c>
      <c r="F86">
        <v>0.49429225101060081</v>
      </c>
      <c r="AD86">
        <v>210</v>
      </c>
    </row>
    <row r="87" spans="5:30" x14ac:dyDescent="0.2">
      <c r="E87">
        <v>151.99999999999989</v>
      </c>
      <c r="F87">
        <v>0.49248182270751945</v>
      </c>
      <c r="AD87">
        <v>211</v>
      </c>
    </row>
    <row r="88" spans="5:30" x14ac:dyDescent="0.2">
      <c r="E88">
        <v>152.09999999999988</v>
      </c>
      <c r="F88">
        <v>0.49067273977688702</v>
      </c>
      <c r="AD88">
        <v>212</v>
      </c>
    </row>
    <row r="89" spans="5:30" x14ac:dyDescent="0.2">
      <c r="E89">
        <v>152.19999999999987</v>
      </c>
      <c r="F89">
        <v>0.48886503751279398</v>
      </c>
      <c r="AD89">
        <v>213</v>
      </c>
    </row>
    <row r="90" spans="5:30" x14ac:dyDescent="0.2">
      <c r="E90">
        <v>152.29999999999987</v>
      </c>
      <c r="F90">
        <v>0.48705875105492374</v>
      </c>
      <c r="AD90">
        <v>214</v>
      </c>
    </row>
    <row r="91" spans="5:30" x14ac:dyDescent="0.2">
      <c r="E91">
        <v>152.39999999999986</v>
      </c>
      <c r="F91">
        <v>0.48525391538690155</v>
      </c>
      <c r="AD91">
        <v>215</v>
      </c>
    </row>
    <row r="92" spans="5:30" x14ac:dyDescent="0.2">
      <c r="E92">
        <v>152.49999999999986</v>
      </c>
      <c r="F92">
        <v>0.48345056533466302</v>
      </c>
      <c r="AD92">
        <v>216</v>
      </c>
    </row>
    <row r="93" spans="5:30" x14ac:dyDescent="0.2">
      <c r="E93">
        <v>152.59999999999985</v>
      </c>
      <c r="F93">
        <v>0.48164873556484805</v>
      </c>
      <c r="AD93">
        <v>217</v>
      </c>
    </row>
    <row r="94" spans="5:30" x14ac:dyDescent="0.2">
      <c r="E94">
        <v>152.69999999999985</v>
      </c>
      <c r="F94">
        <v>0.4798484605832109</v>
      </c>
      <c r="AD94">
        <v>218</v>
      </c>
    </row>
    <row r="95" spans="5:30" x14ac:dyDescent="0.2">
      <c r="E95">
        <v>152.79999999999984</v>
      </c>
      <c r="F95">
        <v>0.47804977473305482</v>
      </c>
      <c r="AD95">
        <v>219</v>
      </c>
    </row>
    <row r="96" spans="5:30" x14ac:dyDescent="0.2">
      <c r="E96">
        <v>152.89999999999984</v>
      </c>
      <c r="F96">
        <v>0.4762527121936867</v>
      </c>
      <c r="AD96">
        <v>220</v>
      </c>
    </row>
    <row r="97" spans="5:30" x14ac:dyDescent="0.2">
      <c r="E97">
        <v>152.99999999999983</v>
      </c>
      <c r="F97">
        <v>0.47445730697889404</v>
      </c>
      <c r="AD97">
        <v>221</v>
      </c>
    </row>
    <row r="98" spans="5:30" x14ac:dyDescent="0.2">
      <c r="E98">
        <v>153.09999999999982</v>
      </c>
      <c r="F98">
        <v>0.47266359293544213</v>
      </c>
      <c r="AD98">
        <v>222</v>
      </c>
    </row>
    <row r="99" spans="5:30" x14ac:dyDescent="0.2">
      <c r="E99">
        <v>153.19999999999982</v>
      </c>
      <c r="F99">
        <v>0.47087160374159198</v>
      </c>
      <c r="AD99">
        <v>223</v>
      </c>
    </row>
    <row r="100" spans="5:30" x14ac:dyDescent="0.2">
      <c r="E100">
        <v>153.29999999999981</v>
      </c>
      <c r="F100">
        <v>0.4690813729056435</v>
      </c>
      <c r="AD100">
        <v>224</v>
      </c>
    </row>
    <row r="101" spans="5:30" x14ac:dyDescent="0.2">
      <c r="E101">
        <v>153.39999999999981</v>
      </c>
      <c r="F101">
        <v>0.46729293376449466</v>
      </c>
      <c r="AD101">
        <v>225</v>
      </c>
    </row>
    <row r="102" spans="5:30" x14ac:dyDescent="0.2">
      <c r="E102">
        <v>153.4999999999998</v>
      </c>
      <c r="F102">
        <v>0.46550631948222582</v>
      </c>
      <c r="AD102">
        <v>226</v>
      </c>
    </row>
    <row r="103" spans="5:30" x14ac:dyDescent="0.2">
      <c r="E103">
        <v>153.5999999999998</v>
      </c>
      <c r="F103">
        <v>0.46372156304870643</v>
      </c>
      <c r="AD103">
        <v>227</v>
      </c>
    </row>
    <row r="104" spans="5:30" x14ac:dyDescent="0.2">
      <c r="E104">
        <v>153.69999999999979</v>
      </c>
      <c r="F104">
        <v>0.46193869727821829</v>
      </c>
      <c r="AD104">
        <v>228</v>
      </c>
    </row>
    <row r="105" spans="5:30" x14ac:dyDescent="0.2">
      <c r="E105">
        <v>153.79999999999978</v>
      </c>
      <c r="F105">
        <v>0.4601577548081065</v>
      </c>
      <c r="AD105">
        <v>229</v>
      </c>
    </row>
    <row r="106" spans="5:30" x14ac:dyDescent="0.2">
      <c r="E106">
        <v>153.89999999999978</v>
      </c>
      <c r="F106">
        <v>0.45837876809744699</v>
      </c>
      <c r="AD106">
        <v>230</v>
      </c>
    </row>
    <row r="107" spans="5:30" x14ac:dyDescent="0.2">
      <c r="E107">
        <v>153.99999999999977</v>
      </c>
      <c r="F107">
        <v>0.45660176942573966</v>
      </c>
      <c r="AD107">
        <v>231</v>
      </c>
    </row>
    <row r="108" spans="5:30" x14ac:dyDescent="0.2">
      <c r="E108">
        <v>154.09999999999977</v>
      </c>
      <c r="F108">
        <v>0.45482679089161915</v>
      </c>
      <c r="AD108">
        <v>232</v>
      </c>
    </row>
    <row r="109" spans="5:30" x14ac:dyDescent="0.2">
      <c r="E109">
        <v>154.19999999999976</v>
      </c>
      <c r="F109">
        <v>0.45305386441159118</v>
      </c>
      <c r="AD109">
        <v>233</v>
      </c>
    </row>
    <row r="110" spans="5:30" x14ac:dyDescent="0.2">
      <c r="E110">
        <v>154.29999999999976</v>
      </c>
      <c r="F110">
        <v>0.45128302171878637</v>
      </c>
      <c r="AD110">
        <v>234</v>
      </c>
    </row>
    <row r="111" spans="5:30" x14ac:dyDescent="0.2">
      <c r="E111">
        <v>154.39999999999975</v>
      </c>
      <c r="F111">
        <v>0.44951429436173962</v>
      </c>
      <c r="AD111">
        <v>235</v>
      </c>
    </row>
    <row r="112" spans="5:30" x14ac:dyDescent="0.2">
      <c r="E112">
        <v>154.49999999999974</v>
      </c>
      <c r="F112">
        <v>0.44774771370318894</v>
      </c>
      <c r="AD112">
        <v>236</v>
      </c>
    </row>
    <row r="113" spans="5:30" x14ac:dyDescent="0.2">
      <c r="E113">
        <v>154.59999999999974</v>
      </c>
      <c r="F113">
        <v>0.44598331091889581</v>
      </c>
      <c r="AD113">
        <v>237</v>
      </c>
    </row>
    <row r="114" spans="5:30" x14ac:dyDescent="0.2">
      <c r="E114">
        <v>154.69999999999973</v>
      </c>
      <c r="F114">
        <v>0.44422111699648764</v>
      </c>
      <c r="AD114">
        <v>238</v>
      </c>
    </row>
    <row r="115" spans="5:30" x14ac:dyDescent="0.2">
      <c r="E115">
        <v>154.79999999999973</v>
      </c>
      <c r="F115">
        <v>0.44246116273432179</v>
      </c>
      <c r="AD115">
        <v>239</v>
      </c>
    </row>
    <row r="116" spans="5:30" x14ac:dyDescent="0.2">
      <c r="E116">
        <v>154.89999999999972</v>
      </c>
      <c r="F116">
        <v>0.44070347874037125</v>
      </c>
      <c r="AD116">
        <v>240</v>
      </c>
    </row>
    <row r="117" spans="5:30" x14ac:dyDescent="0.2">
      <c r="E117">
        <v>154.99999999999972</v>
      </c>
      <c r="F117">
        <v>0.43894809543113139</v>
      </c>
      <c r="AD117">
        <v>241</v>
      </c>
    </row>
    <row r="118" spans="5:30" x14ac:dyDescent="0.2">
      <c r="E118">
        <v>155.09999999999971</v>
      </c>
      <c r="F118">
        <v>0.43719504303054918</v>
      </c>
      <c r="AD118">
        <v>242</v>
      </c>
    </row>
    <row r="119" spans="5:30" x14ac:dyDescent="0.2">
      <c r="E119">
        <v>155.1999999999997</v>
      </c>
      <c r="F119">
        <v>0.43544435156897293</v>
      </c>
      <c r="AD119">
        <v>243</v>
      </c>
    </row>
    <row r="120" spans="5:30" x14ac:dyDescent="0.2">
      <c r="E120">
        <v>155.2999999999997</v>
      </c>
      <c r="F120">
        <v>0.43369605088212326</v>
      </c>
      <c r="AD120">
        <v>244</v>
      </c>
    </row>
    <row r="121" spans="5:30" x14ac:dyDescent="0.2">
      <c r="E121">
        <v>155.39999999999969</v>
      </c>
      <c r="F121">
        <v>0.431950170610088</v>
      </c>
      <c r="AD121">
        <v>245</v>
      </c>
    </row>
    <row r="122" spans="5:30" x14ac:dyDescent="0.2">
      <c r="E122">
        <v>155.49999999999969</v>
      </c>
      <c r="F122">
        <v>0.4302067401963342</v>
      </c>
      <c r="AD122">
        <v>246</v>
      </c>
    </row>
    <row r="123" spans="5:30" x14ac:dyDescent="0.2">
      <c r="E123">
        <v>155.59999999999968</v>
      </c>
      <c r="F123">
        <v>0.42846578888674691</v>
      </c>
      <c r="AD123">
        <v>247</v>
      </c>
    </row>
    <row r="124" spans="5:30" x14ac:dyDescent="0.2">
      <c r="E124">
        <v>155.69999999999968</v>
      </c>
      <c r="F124">
        <v>0.4267273457286837</v>
      </c>
      <c r="AD124">
        <v>248</v>
      </c>
    </row>
    <row r="125" spans="5:30" x14ac:dyDescent="0.2">
      <c r="E125">
        <v>155.79999999999967</v>
      </c>
      <c r="F125">
        <v>0.42499143957005531</v>
      </c>
      <c r="AD125">
        <v>249</v>
      </c>
    </row>
    <row r="126" spans="5:30" x14ac:dyDescent="0.2">
      <c r="E126">
        <v>155.89999999999966</v>
      </c>
      <c r="F126">
        <v>0.42325809905842526</v>
      </c>
      <c r="AD126">
        <v>250</v>
      </c>
    </row>
    <row r="127" spans="5:30" x14ac:dyDescent="0.2">
      <c r="E127">
        <v>155.99999999999966</v>
      </c>
      <c r="F127">
        <v>0.42152735264012964</v>
      </c>
      <c r="AD127">
        <v>251</v>
      </c>
    </row>
    <row r="128" spans="5:30" x14ac:dyDescent="0.2">
      <c r="E128">
        <v>156.09999999999965</v>
      </c>
      <c r="F128">
        <v>0.41979922855942148</v>
      </c>
    </row>
    <row r="129" spans="5:6" x14ac:dyDescent="0.2">
      <c r="E129">
        <v>156.19999999999965</v>
      </c>
      <c r="F129">
        <v>0.4180737548576331</v>
      </c>
    </row>
    <row r="130" spans="5:6" x14ac:dyDescent="0.2">
      <c r="E130">
        <v>156.29999999999964</v>
      </c>
      <c r="F130">
        <v>0.416350959372362</v>
      </c>
    </row>
    <row r="131" spans="5:6" x14ac:dyDescent="0.2">
      <c r="E131">
        <v>156.39999999999964</v>
      </c>
      <c r="F131">
        <v>0.41463086973667462</v>
      </c>
    </row>
    <row r="132" spans="5:6" x14ac:dyDescent="0.2">
      <c r="E132">
        <v>156.49999999999963</v>
      </c>
      <c r="F132">
        <v>0.41291351337833576</v>
      </c>
    </row>
    <row r="133" spans="5:6" x14ac:dyDescent="0.2">
      <c r="E133">
        <v>156.59999999999962</v>
      </c>
      <c r="F133">
        <v>0.4111989175190543</v>
      </c>
    </row>
    <row r="134" spans="5:6" x14ac:dyDescent="0.2">
      <c r="E134">
        <v>156.69999999999962</v>
      </c>
      <c r="F134">
        <v>0.40948710917375281</v>
      </c>
    </row>
    <row r="135" spans="5:6" x14ac:dyDescent="0.2">
      <c r="E135">
        <v>156.79999999999961</v>
      </c>
      <c r="F135">
        <v>0.40777811514985696</v>
      </c>
    </row>
    <row r="136" spans="5:6" x14ac:dyDescent="0.2">
      <c r="E136">
        <v>156.89999999999961</v>
      </c>
      <c r="F136">
        <v>0.40607196204660673</v>
      </c>
    </row>
    <row r="137" spans="5:6" x14ac:dyDescent="0.2">
      <c r="E137">
        <v>156.9999999999996</v>
      </c>
      <c r="F137">
        <v>0.40436867625438577</v>
      </c>
    </row>
    <row r="138" spans="5:6" x14ac:dyDescent="0.2">
      <c r="E138">
        <v>157.0999999999996</v>
      </c>
      <c r="F138">
        <v>0.40266828395407456</v>
      </c>
    </row>
    <row r="139" spans="5:6" x14ac:dyDescent="0.2">
      <c r="E139">
        <v>157.19999999999959</v>
      </c>
      <c r="F139">
        <v>0.40097081111642213</v>
      </c>
    </row>
    <row r="140" spans="5:6" x14ac:dyDescent="0.2">
      <c r="E140">
        <v>157.29999999999959</v>
      </c>
      <c r="F140">
        <v>0.39927628350143984</v>
      </c>
    </row>
    <row r="141" spans="5:6" x14ac:dyDescent="0.2">
      <c r="E141">
        <v>157.39999999999958</v>
      </c>
      <c r="F141">
        <v>0.39758472665781353</v>
      </c>
    </row>
    <row r="142" spans="5:6" x14ac:dyDescent="0.2">
      <c r="E142">
        <v>157.49999999999957</v>
      </c>
      <c r="F142">
        <v>0.39589616592233778</v>
      </c>
    </row>
    <row r="143" spans="5:6" x14ac:dyDescent="0.2">
      <c r="E143">
        <v>157.59999999999957</v>
      </c>
      <c r="F143">
        <v>0.39421062641937021</v>
      </c>
    </row>
    <row r="144" spans="5:6" x14ac:dyDescent="0.2">
      <c r="E144">
        <v>157.69999999999956</v>
      </c>
      <c r="F144">
        <v>0.39252813306030632</v>
      </c>
    </row>
    <row r="145" spans="5:6" x14ac:dyDescent="0.2">
      <c r="E145">
        <v>157.79999999999956</v>
      </c>
      <c r="F145">
        <v>0.3908487105430718</v>
      </c>
    </row>
    <row r="146" spans="5:6" x14ac:dyDescent="0.2">
      <c r="E146">
        <v>157.89999999999955</v>
      </c>
      <c r="F146">
        <v>0.38917238335163962</v>
      </c>
    </row>
    <row r="147" spans="5:6" x14ac:dyDescent="0.2">
      <c r="E147">
        <v>157.99999999999955</v>
      </c>
      <c r="F147">
        <v>0.38749917575556297</v>
      </c>
    </row>
    <row r="148" spans="5:6" x14ac:dyDescent="0.2">
      <c r="E148">
        <v>158.09999999999954</v>
      </c>
      <c r="F148">
        <v>0.38582911180953045</v>
      </c>
    </row>
    <row r="149" spans="5:6" x14ac:dyDescent="0.2">
      <c r="E149">
        <v>158.19999999999953</v>
      </c>
      <c r="F149">
        <v>0.38416221535293971</v>
      </c>
    </row>
    <row r="150" spans="5:6" x14ac:dyDescent="0.2">
      <c r="E150">
        <v>158.29999999999953</v>
      </c>
      <c r="F150">
        <v>0.3824985100094922</v>
      </c>
    </row>
    <row r="151" spans="5:6" x14ac:dyDescent="0.2">
      <c r="E151">
        <v>158.39999999999952</v>
      </c>
      <c r="F151">
        <v>0.38083801918680577</v>
      </c>
    </row>
    <row r="152" spans="5:6" x14ac:dyDescent="0.2">
      <c r="E152">
        <v>158.49999999999952</v>
      </c>
      <c r="F152">
        <v>0.37918076607604906</v>
      </c>
    </row>
    <row r="153" spans="5:6" x14ac:dyDescent="0.2">
      <c r="E153">
        <v>158.59999999999951</v>
      </c>
      <c r="F153">
        <v>0.37752677365159304</v>
      </c>
    </row>
    <row r="154" spans="5:6" x14ac:dyDescent="0.2">
      <c r="E154">
        <v>158.69999999999951</v>
      </c>
      <c r="F154">
        <v>0.37587606467068368</v>
      </c>
    </row>
    <row r="155" spans="5:6" x14ac:dyDescent="0.2">
      <c r="E155">
        <v>158.7999999999995</v>
      </c>
      <c r="F155">
        <v>0.3742286616731334</v>
      </c>
    </row>
    <row r="156" spans="5:6" x14ac:dyDescent="0.2">
      <c r="E156">
        <v>158.89999999999949</v>
      </c>
      <c r="F156">
        <v>0.37258458698103097</v>
      </c>
    </row>
    <row r="157" spans="5:6" x14ac:dyDescent="0.2">
      <c r="E157">
        <v>158.99999999999949</v>
      </c>
      <c r="F157">
        <v>0.37094386269847079</v>
      </c>
    </row>
    <row r="158" spans="5:6" x14ac:dyDescent="0.2">
      <c r="E158">
        <v>159.09999999999948</v>
      </c>
      <c r="F158">
        <v>0.36930651071130255</v>
      </c>
    </row>
    <row r="159" spans="5:6" x14ac:dyDescent="0.2">
      <c r="E159">
        <v>159.19999999999948</v>
      </c>
      <c r="F159">
        <v>0.36767255268689775</v>
      </c>
    </row>
    <row r="160" spans="5:6" x14ac:dyDescent="0.2">
      <c r="E160">
        <v>159.29999999999947</v>
      </c>
      <c r="F160">
        <v>0.36604201007393533</v>
      </c>
    </row>
    <row r="161" spans="5:6" x14ac:dyDescent="0.2">
      <c r="E161">
        <v>159.39999999999947</v>
      </c>
      <c r="F161">
        <v>0.36441490410220745</v>
      </c>
    </row>
    <row r="162" spans="5:6" x14ac:dyDescent="0.2">
      <c r="E162">
        <v>159.49999999999946</v>
      </c>
      <c r="F162">
        <v>0.36279125578244265</v>
      </c>
    </row>
    <row r="163" spans="5:6" x14ac:dyDescent="0.2">
      <c r="E163">
        <v>159.59999999999945</v>
      </c>
      <c r="F163">
        <v>0.36117108590614727</v>
      </c>
    </row>
    <row r="164" spans="5:6" x14ac:dyDescent="0.2">
      <c r="E164">
        <v>159.69999999999945</v>
      </c>
      <c r="F164">
        <v>0.35955441504546481</v>
      </c>
    </row>
    <row r="165" spans="5:6" x14ac:dyDescent="0.2">
      <c r="E165">
        <v>159.79999999999944</v>
      </c>
      <c r="F165">
        <v>0.35794126355305622</v>
      </c>
    </row>
    <row r="166" spans="5:6" x14ac:dyDescent="0.2">
      <c r="E166">
        <v>159.89999999999944</v>
      </c>
      <c r="F166">
        <v>0.35633165156199442</v>
      </c>
    </row>
    <row r="167" spans="5:6" x14ac:dyDescent="0.2">
      <c r="E167">
        <v>159.99999999999943</v>
      </c>
      <c r="F167">
        <v>0.35472559898567962</v>
      </c>
    </row>
    <row r="168" spans="5:6" x14ac:dyDescent="0.2">
      <c r="E168">
        <v>160.09999999999943</v>
      </c>
      <c r="F168">
        <v>0.3531231255177712</v>
      </c>
    </row>
    <row r="169" spans="5:6" x14ac:dyDescent="0.2">
      <c r="E169">
        <v>160.19999999999942</v>
      </c>
      <c r="F169">
        <v>0.35152425063213832</v>
      </c>
    </row>
    <row r="170" spans="5:6" x14ac:dyDescent="0.2">
      <c r="E170">
        <v>160.29999999999941</v>
      </c>
      <c r="F170">
        <v>0.34992899358282675</v>
      </c>
    </row>
    <row r="171" spans="5:6" x14ac:dyDescent="0.2">
      <c r="E171">
        <v>160.39999999999941</v>
      </c>
      <c r="F171">
        <v>0.34833737340404469</v>
      </c>
    </row>
    <row r="172" spans="5:6" x14ac:dyDescent="0.2">
      <c r="E172">
        <v>160.4999999999994</v>
      </c>
      <c r="F172">
        <v>0.34674940891016515</v>
      </c>
    </row>
    <row r="173" spans="5:6" x14ac:dyDescent="0.2">
      <c r="E173">
        <v>160.5999999999994</v>
      </c>
      <c r="F173">
        <v>0.34516511869574668</v>
      </c>
    </row>
    <row r="174" spans="5:6" x14ac:dyDescent="0.2">
      <c r="E174">
        <v>160.69999999999939</v>
      </c>
      <c r="F174">
        <v>0.34358452113556837</v>
      </c>
    </row>
    <row r="175" spans="5:6" x14ac:dyDescent="0.2">
      <c r="E175">
        <v>160.79999999999939</v>
      </c>
      <c r="F175">
        <v>0.3420076343846859</v>
      </c>
    </row>
    <row r="176" spans="5:6" x14ac:dyDescent="0.2">
      <c r="E176">
        <v>160.89999999999938</v>
      </c>
      <c r="F176">
        <v>0.3404344763785016</v>
      </c>
    </row>
    <row r="177" spans="5:6" x14ac:dyDescent="0.2">
      <c r="E177">
        <v>160.99999999999937</v>
      </c>
      <c r="F177">
        <v>0.33886506483285284</v>
      </c>
    </row>
    <row r="178" spans="5:6" x14ac:dyDescent="0.2">
      <c r="E178">
        <v>161.09999999999937</v>
      </c>
      <c r="F178">
        <v>0.33729941724411527</v>
      </c>
    </row>
    <row r="179" spans="5:6" x14ac:dyDescent="0.2">
      <c r="E179">
        <v>161.19999999999936</v>
      </c>
      <c r="F179">
        <v>0.33573755088932505</v>
      </c>
    </row>
    <row r="180" spans="5:6" x14ac:dyDescent="0.2">
      <c r="E180">
        <v>161.29999999999936</v>
      </c>
      <c r="F180">
        <v>0.33417948282631582</v>
      </c>
    </row>
    <row r="181" spans="5:6" x14ac:dyDescent="0.2">
      <c r="E181">
        <v>161.39999999999935</v>
      </c>
      <c r="F181">
        <v>0.33262522989387222</v>
      </c>
    </row>
    <row r="182" spans="5:6" x14ac:dyDescent="0.2">
      <c r="E182">
        <v>161.49999999999935</v>
      </c>
      <c r="F182">
        <v>0.33107480871189887</v>
      </c>
    </row>
    <row r="183" spans="5:6" x14ac:dyDescent="0.2">
      <c r="E183">
        <v>161.59999999999934</v>
      </c>
      <c r="F183">
        <v>0.32952823568160849</v>
      </c>
    </row>
    <row r="184" spans="5:6" x14ac:dyDescent="0.2">
      <c r="E184">
        <v>161.69999999999933</v>
      </c>
      <c r="F184">
        <v>0.32798552698572037</v>
      </c>
    </row>
    <row r="185" spans="5:6" x14ac:dyDescent="0.2">
      <c r="E185">
        <v>161.79999999999933</v>
      </c>
      <c r="F185">
        <v>0.32644669858868036</v>
      </c>
    </row>
    <row r="186" spans="5:6" x14ac:dyDescent="0.2">
      <c r="E186">
        <v>161.89999999999932</v>
      </c>
      <c r="F186">
        <v>0.32491176623689316</v>
      </c>
    </row>
    <row r="187" spans="5:6" x14ac:dyDescent="0.2">
      <c r="E187">
        <v>161.99999999999932</v>
      </c>
      <c r="F187">
        <v>0.32338074545896989</v>
      </c>
    </row>
    <row r="188" spans="5:6" x14ac:dyDescent="0.2">
      <c r="E188">
        <v>162.09999999999931</v>
      </c>
      <c r="F188">
        <v>0.32185365156599338</v>
      </c>
    </row>
    <row r="189" spans="5:6" x14ac:dyDescent="0.2">
      <c r="E189">
        <v>162.19999999999931</v>
      </c>
      <c r="F189">
        <v>0.32033049965179583</v>
      </c>
    </row>
    <row r="190" spans="5:6" x14ac:dyDescent="0.2">
      <c r="E190">
        <v>162.2999999999993</v>
      </c>
      <c r="F190">
        <v>0.31881130459325457</v>
      </c>
    </row>
    <row r="191" spans="5:6" x14ac:dyDescent="0.2">
      <c r="E191">
        <v>162.3999999999993</v>
      </c>
      <c r="F191">
        <v>0.31729608105059892</v>
      </c>
    </row>
    <row r="192" spans="5:6" x14ac:dyDescent="0.2">
      <c r="E192">
        <v>162.49999999999929</v>
      </c>
      <c r="F192">
        <v>0.31578484346773605</v>
      </c>
    </row>
    <row r="193" spans="5:6" x14ac:dyDescent="0.2">
      <c r="E193">
        <v>162.59999999999928</v>
      </c>
      <c r="F193">
        <v>0.31427760607258859</v>
      </c>
    </row>
    <row r="194" spans="5:6" x14ac:dyDescent="0.2">
      <c r="E194">
        <v>162.69999999999928</v>
      </c>
      <c r="F194">
        <v>0.31277438287744791</v>
      </c>
    </row>
    <row r="195" spans="5:6" x14ac:dyDescent="0.2">
      <c r="E195">
        <v>162.79999999999927</v>
      </c>
      <c r="F195">
        <v>0.31127518767934093</v>
      </c>
    </row>
    <row r="196" spans="5:6" x14ac:dyDescent="0.2">
      <c r="E196">
        <v>162.89999999999927</v>
      </c>
      <c r="F196">
        <v>0.30978003406041238</v>
      </c>
    </row>
    <row r="197" spans="5:6" x14ac:dyDescent="0.2">
      <c r="E197">
        <v>162.99999999999926</v>
      </c>
      <c r="F197">
        <v>0.30828893538831992</v>
      </c>
    </row>
    <row r="198" spans="5:6" x14ac:dyDescent="0.2">
      <c r="E198">
        <v>163.09999999999926</v>
      </c>
      <c r="F198">
        <v>0.30680190481664527</v>
      </c>
    </row>
    <row r="199" spans="5:6" x14ac:dyDescent="0.2">
      <c r="E199">
        <v>163.19999999999925</v>
      </c>
      <c r="F199">
        <v>0.30531895528531527</v>
      </c>
    </row>
    <row r="200" spans="5:6" x14ac:dyDescent="0.2">
      <c r="E200">
        <v>163.29999999999924</v>
      </c>
      <c r="F200">
        <v>0.30384009952104185</v>
      </c>
    </row>
    <row r="201" spans="5:6" x14ac:dyDescent="0.2">
      <c r="E201">
        <v>163.39999999999924</v>
      </c>
      <c r="F201">
        <v>0.30236535003776982</v>
      </c>
    </row>
    <row r="202" spans="5:6" x14ac:dyDescent="0.2">
      <c r="E202">
        <v>163.49999999999923</v>
      </c>
      <c r="F202">
        <v>0.30089471913714344</v>
      </c>
    </row>
    <row r="203" spans="5:6" x14ac:dyDescent="0.2">
      <c r="E203">
        <v>163.59999999999923</v>
      </c>
      <c r="F203">
        <v>0.29942821890898241</v>
      </c>
    </row>
    <row r="204" spans="5:6" x14ac:dyDescent="0.2">
      <c r="E204">
        <v>163.69999999999922</v>
      </c>
      <c r="F204">
        <v>0.2979658612317726</v>
      </c>
    </row>
    <row r="205" spans="5:6" x14ac:dyDescent="0.2">
      <c r="E205">
        <v>163.79999999999922</v>
      </c>
      <c r="F205">
        <v>0.29650765777316945</v>
      </c>
    </row>
    <row r="206" spans="5:6" x14ac:dyDescent="0.2">
      <c r="E206">
        <v>163.89999999999921</v>
      </c>
      <c r="F206">
        <v>0.2950536199905136</v>
      </c>
    </row>
    <row r="207" spans="5:6" x14ac:dyDescent="0.2">
      <c r="E207">
        <v>163.9999999999992</v>
      </c>
      <c r="F207">
        <v>0.29360375913136116</v>
      </c>
    </row>
    <row r="208" spans="5:6" x14ac:dyDescent="0.2">
      <c r="E208">
        <v>164.0999999999992</v>
      </c>
      <c r="F208">
        <v>0.29215808623402317</v>
      </c>
    </row>
    <row r="209" spans="5:6" x14ac:dyDescent="0.2">
      <c r="E209">
        <v>164.19999999999919</v>
      </c>
      <c r="F209">
        <v>0.29071661212812117</v>
      </c>
    </row>
    <row r="210" spans="5:6" x14ac:dyDescent="0.2">
      <c r="E210">
        <v>164.29999999999919</v>
      </c>
      <c r="F210">
        <v>0.28927934743515149</v>
      </c>
    </row>
    <row r="211" spans="5:6" x14ac:dyDescent="0.2">
      <c r="E211">
        <v>164.39999999999918</v>
      </c>
      <c r="F211">
        <v>0.28784630256906496</v>
      </c>
    </row>
    <row r="212" spans="5:6" x14ac:dyDescent="0.2">
      <c r="E212">
        <v>164.49999999999918</v>
      </c>
      <c r="F212">
        <v>0.28641748773685527</v>
      </c>
    </row>
    <row r="213" spans="5:6" x14ac:dyDescent="0.2">
      <c r="E213">
        <v>164.59999999999917</v>
      </c>
      <c r="F213">
        <v>0.28499291293916207</v>
      </c>
    </row>
    <row r="214" spans="5:6" x14ac:dyDescent="0.2">
      <c r="E214">
        <v>164.69999999999916</v>
      </c>
      <c r="F214">
        <v>0.28357258797088342</v>
      </c>
    </row>
    <row r="215" spans="5:6" x14ac:dyDescent="0.2">
      <c r="E215">
        <v>164.79999999999916</v>
      </c>
      <c r="F215">
        <v>0.28215652242180123</v>
      </c>
    </row>
    <row r="216" spans="5:6" x14ac:dyDescent="0.2">
      <c r="E216">
        <v>164.89999999999915</v>
      </c>
      <c r="F216">
        <v>0.28074472567721809</v>
      </c>
    </row>
    <row r="217" spans="5:6" x14ac:dyDescent="0.2">
      <c r="E217">
        <v>164.99999999999915</v>
      </c>
      <c r="F217">
        <v>0.27933720691860331</v>
      </c>
    </row>
    <row r="218" spans="5:6" x14ac:dyDescent="0.2">
      <c r="E218">
        <v>165.09999999999914</v>
      </c>
      <c r="F218">
        <v>0.27793397512425216</v>
      </c>
    </row>
    <row r="219" spans="5:6" x14ac:dyDescent="0.2">
      <c r="E219">
        <v>165.19999999999914</v>
      </c>
      <c r="F219">
        <v>0.2765350390699558</v>
      </c>
    </row>
    <row r="220" spans="5:6" x14ac:dyDescent="0.2">
      <c r="E220">
        <v>165.29999999999913</v>
      </c>
      <c r="F220">
        <v>0.27514040732968159</v>
      </c>
    </row>
    <row r="221" spans="5:6" x14ac:dyDescent="0.2">
      <c r="E221">
        <v>165.39999999999912</v>
      </c>
      <c r="F221">
        <v>0.27375008827626268</v>
      </c>
    </row>
    <row r="222" spans="5:6" x14ac:dyDescent="0.2">
      <c r="E222">
        <v>165.49999999999912</v>
      </c>
      <c r="F222">
        <v>0.27236409008210016</v>
      </c>
    </row>
    <row r="223" spans="5:6" x14ac:dyDescent="0.2">
      <c r="E223">
        <v>165.59999999999911</v>
      </c>
      <c r="F223">
        <v>0.27098242071987522</v>
      </c>
    </row>
    <row r="224" spans="5:6" x14ac:dyDescent="0.2">
      <c r="E224">
        <v>165.69999999999911</v>
      </c>
      <c r="F224">
        <v>0.2696050879632701</v>
      </c>
    </row>
    <row r="225" spans="5:6" x14ac:dyDescent="0.2">
      <c r="E225">
        <v>165.7999999999991</v>
      </c>
      <c r="F225">
        <v>0.26823209938769998</v>
      </c>
    </row>
    <row r="226" spans="5:6" x14ac:dyDescent="0.2">
      <c r="E226">
        <v>165.8999999999991</v>
      </c>
      <c r="F226">
        <v>0.26686346237105574</v>
      </c>
    </row>
    <row r="227" spans="5:6" x14ac:dyDescent="0.2">
      <c r="E227">
        <v>165.99999999999909</v>
      </c>
      <c r="F227">
        <v>0.26549918409445383</v>
      </c>
    </row>
    <row r="228" spans="5:6" x14ac:dyDescent="0.2">
      <c r="E228">
        <v>166.09999999999908</v>
      </c>
      <c r="F228">
        <v>0.26413927154299943</v>
      </c>
    </row>
    <row r="229" spans="5:6" x14ac:dyDescent="0.2">
      <c r="E229">
        <v>166.19999999999908</v>
      </c>
      <c r="F229">
        <v>0.26278373150655476</v>
      </c>
    </row>
    <row r="230" spans="5:6" x14ac:dyDescent="0.2">
      <c r="E230">
        <v>166.29999999999907</v>
      </c>
      <c r="F230">
        <v>0.26143257058052061</v>
      </c>
    </row>
    <row r="231" spans="5:6" x14ac:dyDescent="0.2">
      <c r="E231">
        <v>166.39999999999907</v>
      </c>
      <c r="F231">
        <v>0.26008579516662456</v>
      </c>
    </row>
    <row r="232" spans="5:6" x14ac:dyDescent="0.2">
      <c r="E232">
        <v>166.49999999999906</v>
      </c>
      <c r="F232">
        <v>0.25874341147372004</v>
      </c>
    </row>
    <row r="233" spans="5:6" x14ac:dyDescent="0.2">
      <c r="E233">
        <v>166.59999999999906</v>
      </c>
      <c r="F233">
        <v>0.2574054255185908</v>
      </c>
    </row>
    <row r="234" spans="5:6" x14ac:dyDescent="0.2">
      <c r="E234">
        <v>166.69999999999905</v>
      </c>
      <c r="F234">
        <v>0.25607184312677006</v>
      </c>
    </row>
    <row r="235" spans="5:6" x14ac:dyDescent="0.2">
      <c r="E235">
        <v>166.79999999999905</v>
      </c>
      <c r="F235">
        <v>0.25474266993336164</v>
      </c>
    </row>
    <row r="236" spans="5:6" x14ac:dyDescent="0.2">
      <c r="E236">
        <v>166.89999999999904</v>
      </c>
      <c r="F236">
        <v>0.25341791138387382</v>
      </c>
    </row>
    <row r="237" spans="5:6" x14ac:dyDescent="0.2">
      <c r="E237">
        <v>166.99999999999903</v>
      </c>
      <c r="F237">
        <v>0.25209757273506106</v>
      </c>
    </row>
    <row r="238" spans="5:6" x14ac:dyDescent="0.2">
      <c r="E238">
        <v>167.09999999999903</v>
      </c>
      <c r="F238">
        <v>0.25078165905577177</v>
      </c>
    </row>
    <row r="239" spans="5:6" x14ac:dyDescent="0.2">
      <c r="E239">
        <v>167.19999999999902</v>
      </c>
      <c r="F239">
        <v>0.2494701752278064</v>
      </c>
    </row>
    <row r="240" spans="5:6" x14ac:dyDescent="0.2">
      <c r="E240">
        <v>167.29999999999902</v>
      </c>
      <c r="F240">
        <v>0.24816312594678114</v>
      </c>
    </row>
    <row r="241" spans="5:6" x14ac:dyDescent="0.2">
      <c r="E241">
        <v>167.39999999999901</v>
      </c>
      <c r="F241">
        <v>0.24686051572300299</v>
      </c>
    </row>
    <row r="242" spans="5:6" x14ac:dyDescent="0.2">
      <c r="E242">
        <v>167.49999999999901</v>
      </c>
      <c r="F242">
        <v>0.24556234888234724</v>
      </c>
    </row>
    <row r="243" spans="5:6" x14ac:dyDescent="0.2">
      <c r="E243">
        <v>167.599999999999</v>
      </c>
      <c r="F243">
        <v>0.2442686295671469</v>
      </c>
    </row>
    <row r="244" spans="5:6" x14ac:dyDescent="0.2">
      <c r="E244">
        <v>167.69999999999899</v>
      </c>
      <c r="F244">
        <v>0.24297936173708784</v>
      </c>
    </row>
    <row r="245" spans="5:6" x14ac:dyDescent="0.2">
      <c r="E245">
        <v>167.79999999999899</v>
      </c>
      <c r="F245">
        <v>0.24169454917010968</v>
      </c>
    </row>
    <row r="246" spans="5:6" x14ac:dyDescent="0.2">
      <c r="E246">
        <v>167.89999999999898</v>
      </c>
      <c r="F246">
        <v>0.24041419546331633</v>
      </c>
    </row>
    <row r="247" spans="5:6" x14ac:dyDescent="0.2">
      <c r="E247">
        <v>167.99999999999898</v>
      </c>
      <c r="F247">
        <v>0.2391383040338918</v>
      </c>
    </row>
    <row r="248" spans="5:6" x14ac:dyDescent="0.2">
      <c r="E248">
        <v>168.09999999999897</v>
      </c>
      <c r="F248">
        <v>0.23786687812002158</v>
      </c>
    </row>
    <row r="249" spans="5:6" x14ac:dyDescent="0.2">
      <c r="E249">
        <v>168.19999999999897</v>
      </c>
      <c r="F249">
        <v>0.23659992078182468</v>
      </c>
    </row>
    <row r="250" spans="5:6" x14ac:dyDescent="0.2">
      <c r="E250">
        <v>168.29999999999896</v>
      </c>
      <c r="F250">
        <v>0.23533743490228695</v>
      </c>
    </row>
    <row r="251" spans="5:6" x14ac:dyDescent="0.2">
      <c r="E251">
        <v>168.39999999999895</v>
      </c>
      <c r="F251">
        <v>0.23407942318820471</v>
      </c>
    </row>
    <row r="252" spans="5:6" x14ac:dyDescent="0.2">
      <c r="E252">
        <v>168.49999999999895</v>
      </c>
      <c r="F252">
        <v>0.23282588817113312</v>
      </c>
    </row>
    <row r="253" spans="5:6" x14ac:dyDescent="0.2">
      <c r="E253">
        <v>168.59999999999894</v>
      </c>
      <c r="F253">
        <v>0.23157683220834008</v>
      </c>
    </row>
    <row r="254" spans="5:6" x14ac:dyDescent="0.2">
      <c r="E254">
        <v>168.69999999999894</v>
      </c>
      <c r="F254">
        <v>0.23033225748376693</v>
      </c>
    </row>
    <row r="255" spans="5:6" x14ac:dyDescent="0.2">
      <c r="E255">
        <v>168.79999999999893</v>
      </c>
      <c r="F255">
        <v>0.22909216600899401</v>
      </c>
    </row>
    <row r="256" spans="5:6" x14ac:dyDescent="0.2">
      <c r="E256">
        <v>168.89999999999893</v>
      </c>
      <c r="F256">
        <v>0.2278565596242135</v>
      </c>
    </row>
    <row r="257" spans="5:6" x14ac:dyDescent="0.2">
      <c r="E257">
        <v>168.99999999999892</v>
      </c>
      <c r="F257">
        <v>0.22662543999920565</v>
      </c>
    </row>
    <row r="258" spans="5:6" x14ac:dyDescent="0.2">
      <c r="E258">
        <v>169.09999999999891</v>
      </c>
      <c r="F258">
        <v>0.22539880863432249</v>
      </c>
    </row>
    <row r="259" spans="5:6" x14ac:dyDescent="0.2">
      <c r="E259">
        <v>169.19999999999891</v>
      </c>
      <c r="F259">
        <v>0.22417666686147397</v>
      </c>
    </row>
    <row r="260" spans="5:6" x14ac:dyDescent="0.2">
      <c r="E260">
        <v>169.2999999999989</v>
      </c>
      <c r="F260">
        <v>0.22295901584512351</v>
      </c>
    </row>
    <row r="261" spans="5:6" x14ac:dyDescent="0.2">
      <c r="E261">
        <v>169.3999999999989</v>
      </c>
      <c r="F261">
        <v>0.22174585658328336</v>
      </c>
    </row>
    <row r="262" spans="5:6" x14ac:dyDescent="0.2">
      <c r="E262">
        <v>169.49999999999889</v>
      </c>
      <c r="F262">
        <v>0.22053718990851917</v>
      </c>
    </row>
    <row r="263" spans="5:6" x14ac:dyDescent="0.2">
      <c r="E263">
        <v>169.59999999999889</v>
      </c>
      <c r="F263">
        <v>0.21933301648895689</v>
      </c>
    </row>
    <row r="264" spans="5:6" x14ac:dyDescent="0.2">
      <c r="E264">
        <v>169.69999999999888</v>
      </c>
      <c r="F264">
        <v>0.21813333682929517</v>
      </c>
    </row>
    <row r="265" spans="5:6" x14ac:dyDescent="0.2">
      <c r="E265">
        <v>169.79999999999887</v>
      </c>
      <c r="F265">
        <v>0.21693815127182131</v>
      </c>
    </row>
    <row r="266" spans="5:6" x14ac:dyDescent="0.2">
      <c r="E266">
        <v>169.89999999999887</v>
      </c>
      <c r="F266">
        <v>0.21574745999743294</v>
      </c>
    </row>
    <row r="267" spans="5:6" x14ac:dyDescent="0.2">
      <c r="E267">
        <v>169.99999999999886</v>
      </c>
      <c r="F267">
        <v>0.2145612630266622</v>
      </c>
    </row>
    <row r="268" spans="5:6" x14ac:dyDescent="0.2">
      <c r="E268">
        <v>170.09999999999886</v>
      </c>
      <c r="F268">
        <v>0.21337956022070634</v>
      </c>
    </row>
    <row r="269" spans="5:6" x14ac:dyDescent="0.2">
      <c r="E269">
        <v>170.19999999999885</v>
      </c>
      <c r="F269">
        <v>0.2122023512824586</v>
      </c>
    </row>
    <row r="270" spans="5:6" x14ac:dyDescent="0.2">
      <c r="E270">
        <v>170.29999999999885</v>
      </c>
      <c r="F270">
        <v>0.21102963575754771</v>
      </c>
    </row>
    <row r="271" spans="5:6" x14ac:dyDescent="0.2">
      <c r="E271">
        <v>170.39999999999884</v>
      </c>
      <c r="F271">
        <v>0.20986141303537645</v>
      </c>
    </row>
    <row r="272" spans="5:6" x14ac:dyDescent="0.2">
      <c r="E272">
        <v>170.49999999999883</v>
      </c>
      <c r="F272">
        <v>0.2086976823501665</v>
      </c>
    </row>
    <row r="273" spans="5:6" x14ac:dyDescent="0.2">
      <c r="E273">
        <v>170.59999999999883</v>
      </c>
      <c r="F273">
        <v>0.20753844278200706</v>
      </c>
    </row>
    <row r="274" spans="5:6" x14ac:dyDescent="0.2">
      <c r="E274">
        <v>170.69999999999882</v>
      </c>
      <c r="F274">
        <v>0.20638369325790371</v>
      </c>
    </row>
    <row r="275" spans="5:6" x14ac:dyDescent="0.2">
      <c r="E275">
        <v>170.79999999999882</v>
      </c>
      <c r="F275">
        <v>0.20523343255283405</v>
      </c>
    </row>
    <row r="276" spans="5:6" x14ac:dyDescent="0.2">
      <c r="E276">
        <v>170.89999999999881</v>
      </c>
      <c r="F276">
        <v>0.20408765929080519</v>
      </c>
    </row>
    <row r="277" spans="5:6" x14ac:dyDescent="0.2">
      <c r="E277">
        <v>170.99999999999881</v>
      </c>
      <c r="F277">
        <v>0.20294637194591211</v>
      </c>
    </row>
    <row r="278" spans="5:6" x14ac:dyDescent="0.2">
      <c r="E278">
        <v>171.0999999999988</v>
      </c>
      <c r="F278">
        <v>0.20180956884340254</v>
      </c>
    </row>
    <row r="279" spans="5:6" x14ac:dyDescent="0.2">
      <c r="E279">
        <v>171.19999999999879</v>
      </c>
      <c r="F279">
        <v>0.20067724816074201</v>
      </c>
    </row>
    <row r="280" spans="5:6" x14ac:dyDescent="0.2">
      <c r="E280">
        <v>171.29999999999879</v>
      </c>
      <c r="F280">
        <v>0.19954940792868139</v>
      </c>
    </row>
    <row r="281" spans="5:6" x14ac:dyDescent="0.2">
      <c r="E281">
        <v>171.39999999999878</v>
      </c>
      <c r="F281">
        <v>0.19842604603232922</v>
      </c>
    </row>
    <row r="282" spans="5:6" x14ac:dyDescent="0.2">
      <c r="E282">
        <v>171.49999999999878</v>
      </c>
      <c r="F282">
        <v>0.19730716021222303</v>
      </c>
    </row>
    <row r="283" spans="5:6" x14ac:dyDescent="0.2">
      <c r="E283">
        <v>171.59999999999877</v>
      </c>
      <c r="F283">
        <v>0.19619274806540651</v>
      </c>
    </row>
    <row r="284" spans="5:6" x14ac:dyDescent="0.2">
      <c r="E284">
        <v>171.69999999999877</v>
      </c>
      <c r="F284">
        <v>0.1950828070465056</v>
      </c>
    </row>
    <row r="285" spans="5:6" x14ac:dyDescent="0.2">
      <c r="E285">
        <v>171.79999999999876</v>
      </c>
      <c r="F285">
        <v>0.1939773344688091</v>
      </c>
    </row>
    <row r="286" spans="5:6" x14ac:dyDescent="0.2">
      <c r="E286">
        <v>171.89999999999876</v>
      </c>
      <c r="F286">
        <v>0.19287632750534914</v>
      </c>
    </row>
    <row r="287" spans="5:6" x14ac:dyDescent="0.2">
      <c r="E287">
        <v>171.99999999999875</v>
      </c>
      <c r="F287">
        <v>0.19177978318998529</v>
      </c>
    </row>
    <row r="288" spans="5:6" x14ac:dyDescent="0.2">
      <c r="E288">
        <v>172.09999999999874</v>
      </c>
      <c r="F288">
        <v>0.19068769841848934</v>
      </c>
    </row>
    <row r="289" spans="5:6" x14ac:dyDescent="0.2">
      <c r="E289">
        <v>172.19999999999874</v>
      </c>
      <c r="F289">
        <v>0.18960006994963102</v>
      </c>
    </row>
    <row r="290" spans="5:6" x14ac:dyDescent="0.2">
      <c r="E290">
        <v>172.29999999999873</v>
      </c>
      <c r="F290">
        <v>0.18851689440626659</v>
      </c>
    </row>
    <row r="291" spans="5:6" x14ac:dyDescent="0.2">
      <c r="E291">
        <v>172.39999999999873</v>
      </c>
      <c r="F291">
        <v>0.18743816827642851</v>
      </c>
    </row>
    <row r="292" spans="5:6" x14ac:dyDescent="0.2">
      <c r="E292">
        <v>172.49999999999872</v>
      </c>
      <c r="F292">
        <v>0.18636388791441477</v>
      </c>
    </row>
    <row r="293" spans="5:6" x14ac:dyDescent="0.2">
      <c r="E293">
        <v>172.59999999999872</v>
      </c>
      <c r="F293">
        <v>0.18529404954188211</v>
      </c>
    </row>
    <row r="294" spans="5:6" x14ac:dyDescent="0.2">
      <c r="E294">
        <v>172.69999999999871</v>
      </c>
      <c r="F294">
        <v>0.18422864924893684</v>
      </c>
    </row>
    <row r="295" spans="5:6" x14ac:dyDescent="0.2">
      <c r="E295">
        <v>172.7999999999987</v>
      </c>
      <c r="F295">
        <v>0.18316768299523037</v>
      </c>
    </row>
    <row r="296" spans="5:6" x14ac:dyDescent="0.2">
      <c r="E296">
        <v>172.8999999999987</v>
      </c>
      <c r="F296">
        <v>0.18211114661105268</v>
      </c>
    </row>
    <row r="297" spans="5:6" x14ac:dyDescent="0.2">
      <c r="E297">
        <v>172.99999999999869</v>
      </c>
      <c r="F297">
        <v>0.18105903579842703</v>
      </c>
    </row>
    <row r="298" spans="5:6" x14ac:dyDescent="0.2">
      <c r="E298">
        <v>173.09999999999869</v>
      </c>
      <c r="F298">
        <v>0.18001134613220676</v>
      </c>
    </row>
    <row r="299" spans="5:6" x14ac:dyDescent="0.2">
      <c r="E299">
        <v>173.19999999999868</v>
      </c>
      <c r="F299">
        <v>0.17896807306117091</v>
      </c>
    </row>
    <row r="300" spans="5:6" x14ac:dyDescent="0.2">
      <c r="E300">
        <v>173.29999999999868</v>
      </c>
      <c r="F300">
        <v>0.17792921190912117</v>
      </c>
    </row>
    <row r="301" spans="5:6" x14ac:dyDescent="0.2">
      <c r="E301">
        <v>173.39999999999867</v>
      </c>
      <c r="F301">
        <v>0.17689475787597797</v>
      </c>
    </row>
    <row r="302" spans="5:6" x14ac:dyDescent="0.2">
      <c r="E302">
        <v>173.49999999999866</v>
      </c>
      <c r="F302">
        <v>0.17586470603887963</v>
      </c>
    </row>
    <row r="303" spans="5:6" x14ac:dyDescent="0.2">
      <c r="E303">
        <v>173.59999999999866</v>
      </c>
      <c r="F303">
        <v>0.17483905135327768</v>
      </c>
    </row>
    <row r="304" spans="5:6" x14ac:dyDescent="0.2">
      <c r="E304">
        <v>173.69999999999865</v>
      </c>
      <c r="F304">
        <v>0.17381778865403505</v>
      </c>
    </row>
    <row r="305" spans="5:6" x14ac:dyDescent="0.2">
      <c r="E305">
        <v>173.79999999999865</v>
      </c>
      <c r="F305">
        <v>0.17280091265652334</v>
      </c>
    </row>
    <row r="306" spans="5:6" x14ac:dyDescent="0.2">
      <c r="E306">
        <v>173.89999999999864</v>
      </c>
      <c r="F306">
        <v>0.17178841795771937</v>
      </c>
    </row>
    <row r="307" spans="5:6" x14ac:dyDescent="0.2">
      <c r="E307">
        <v>173.99999999999864</v>
      </c>
      <c r="F307">
        <v>0.1707802990373028</v>
      </c>
    </row>
    <row r="308" spans="5:6" x14ac:dyDescent="0.2">
      <c r="E308">
        <v>174.09999999999863</v>
      </c>
      <c r="F308">
        <v>0.16977655025875174</v>
      </c>
    </row>
    <row r="309" spans="5:6" x14ac:dyDescent="0.2">
      <c r="E309">
        <v>174.19999999999862</v>
      </c>
      <c r="F309">
        <v>0.16877716587043887</v>
      </c>
    </row>
    <row r="310" spans="5:6" x14ac:dyDescent="0.2">
      <c r="E310">
        <v>174.29999999999862</v>
      </c>
      <c r="F310">
        <v>0.167782140006727</v>
      </c>
    </row>
    <row r="311" spans="5:6" x14ac:dyDescent="0.2">
      <c r="E311">
        <v>174.39999999999861</v>
      </c>
      <c r="F311">
        <v>0.16679146668906417</v>
      </c>
    </row>
    <row r="312" spans="5:6" x14ac:dyDescent="0.2">
      <c r="E312">
        <v>174.49999999999861</v>
      </c>
      <c r="F312">
        <v>0.1658051398270762</v>
      </c>
    </row>
    <row r="313" spans="5:6" x14ac:dyDescent="0.2">
      <c r="E313">
        <v>174.5999999999986</v>
      </c>
      <c r="F313">
        <v>0.16482315321966193</v>
      </c>
    </row>
    <row r="314" spans="5:6" x14ac:dyDescent="0.2">
      <c r="E314">
        <v>174.6999999999986</v>
      </c>
      <c r="F314">
        <v>0.16384550055608429</v>
      </c>
    </row>
    <row r="315" spans="5:6" x14ac:dyDescent="0.2">
      <c r="E315">
        <v>174.79999999999859</v>
      </c>
      <c r="F315">
        <v>0.16287217541706112</v>
      </c>
    </row>
    <row r="316" spans="5:6" x14ac:dyDescent="0.2">
      <c r="E316">
        <v>174.89999999999858</v>
      </c>
      <c r="F316">
        <v>0.16190317127585657</v>
      </c>
    </row>
    <row r="317" spans="5:6" x14ac:dyDescent="0.2">
      <c r="E317">
        <v>174.99999999999858</v>
      </c>
      <c r="F317">
        <v>0.16093848149936923</v>
      </c>
    </row>
    <row r="318" spans="5:6" x14ac:dyDescent="0.2">
      <c r="E318">
        <v>175.09999999999857</v>
      </c>
      <c r="F318">
        <v>0.15997809934922042</v>
      </c>
    </row>
    <row r="319" spans="5:6" x14ac:dyDescent="0.2">
      <c r="E319">
        <v>175.19999999999857</v>
      </c>
      <c r="F319">
        <v>0.15902201798284005</v>
      </c>
    </row>
    <row r="320" spans="5:6" x14ac:dyDescent="0.2">
      <c r="E320">
        <v>175.29999999999856</v>
      </c>
      <c r="F320">
        <v>0.15807023045455248</v>
      </c>
    </row>
    <row r="321" spans="5:6" x14ac:dyDescent="0.2">
      <c r="E321">
        <v>175.39999999999856</v>
      </c>
      <c r="F321">
        <v>0.15712272971665883</v>
      </c>
    </row>
    <row r="322" spans="5:6" x14ac:dyDescent="0.2">
      <c r="E322">
        <v>175.49999999999855</v>
      </c>
      <c r="F322">
        <v>0.15617950862051996</v>
      </c>
    </row>
    <row r="323" spans="5:6" x14ac:dyDescent="0.2">
      <c r="E323">
        <v>175.59999999999854</v>
      </c>
      <c r="F323">
        <v>0.15524055991763633</v>
      </c>
    </row>
    <row r="324" spans="5:6" x14ac:dyDescent="0.2">
      <c r="E324">
        <v>175.69999999999854</v>
      </c>
      <c r="F324">
        <v>0.15430587626072648</v>
      </c>
    </row>
    <row r="325" spans="5:6" x14ac:dyDescent="0.2">
      <c r="E325">
        <v>175.79999999999853</v>
      </c>
      <c r="F325">
        <v>0.1533754502048035</v>
      </c>
    </row>
    <row r="326" spans="5:6" x14ac:dyDescent="0.2">
      <c r="E326">
        <v>175.89999999999853</v>
      </c>
      <c r="F326">
        <v>0.15244927420825022</v>
      </c>
    </row>
    <row r="327" spans="5:6" x14ac:dyDescent="0.2">
      <c r="E327">
        <v>175.99999999999852</v>
      </c>
      <c r="F327">
        <v>0.15152734063389217</v>
      </c>
    </row>
    <row r="328" spans="5:6" x14ac:dyDescent="0.2">
      <c r="E328">
        <v>176.09999999999852</v>
      </c>
      <c r="F328">
        <v>0.15060964175006769</v>
      </c>
    </row>
    <row r="329" spans="5:6" x14ac:dyDescent="0.2">
      <c r="E329">
        <v>176.19999999999851</v>
      </c>
      <c r="F329">
        <v>0.149696169731697</v>
      </c>
    </row>
    <row r="330" spans="5:6" x14ac:dyDescent="0.2">
      <c r="E330">
        <v>176.29999999999851</v>
      </c>
      <c r="F330">
        <v>0.14878691666134869</v>
      </c>
    </row>
    <row r="331" spans="5:6" x14ac:dyDescent="0.2">
      <c r="E331">
        <v>176.3999999999985</v>
      </c>
      <c r="F331">
        <v>0.14788187453030396</v>
      </c>
    </row>
    <row r="332" spans="5:6" x14ac:dyDescent="0.2">
      <c r="E332">
        <v>176.49999999999849</v>
      </c>
      <c r="F332">
        <v>0.14698103523961814</v>
      </c>
    </row>
    <row r="333" spans="5:6" x14ac:dyDescent="0.2">
      <c r="E333">
        <v>176.59999999999849</v>
      </c>
      <c r="F333">
        <v>0.14608439060118095</v>
      </c>
    </row>
    <row r="334" spans="5:6" x14ac:dyDescent="0.2">
      <c r="E334">
        <v>176.69999999999848</v>
      </c>
      <c r="F334">
        <v>0.14519193233877206</v>
      </c>
    </row>
    <row r="335" spans="5:6" x14ac:dyDescent="0.2">
      <c r="E335">
        <v>176.79999999999848</v>
      </c>
      <c r="F335">
        <v>0.14430365208911677</v>
      </c>
    </row>
    <row r="336" spans="5:6" x14ac:dyDescent="0.2">
      <c r="E336">
        <v>176.89999999999847</v>
      </c>
      <c r="F336">
        <v>0.14341954140293764</v>
      </c>
    </row>
    <row r="337" spans="5:6" x14ac:dyDescent="0.2">
      <c r="E337">
        <v>176.99999999999847</v>
      </c>
      <c r="F337">
        <v>0.14253959174600295</v>
      </c>
    </row>
    <row r="338" spans="5:6" x14ac:dyDescent="0.2">
      <c r="E338">
        <v>177.09999999999846</v>
      </c>
      <c r="F338">
        <v>0.14166379450017375</v>
      </c>
    </row>
    <row r="339" spans="5:6" x14ac:dyDescent="0.2">
      <c r="E339">
        <v>177.19999999999845</v>
      </c>
      <c r="F339">
        <v>0.14079214096444706</v>
      </c>
    </row>
    <row r="340" spans="5:6" x14ac:dyDescent="0.2">
      <c r="E340">
        <v>177.29999999999845</v>
      </c>
      <c r="F340">
        <v>0.13992462235599731</v>
      </c>
    </row>
    <row r="341" spans="5:6" x14ac:dyDescent="0.2">
      <c r="E341">
        <v>177.39999999999844</v>
      </c>
      <c r="F341">
        <v>0.13906122981121247</v>
      </c>
    </row>
    <row r="342" spans="5:6" x14ac:dyDescent="0.2">
      <c r="E342">
        <v>177.49999999999844</v>
      </c>
      <c r="F342">
        <v>0.13820195438673119</v>
      </c>
    </row>
    <row r="343" spans="5:6" x14ac:dyDescent="0.2">
      <c r="E343">
        <v>177.59999999999843</v>
      </c>
      <c r="F343">
        <v>0.13734678706047221</v>
      </c>
    </row>
    <row r="344" spans="5:6" x14ac:dyDescent="0.2">
      <c r="E344">
        <v>177.69999999999843</v>
      </c>
      <c r="F344">
        <v>0.13649571873266417</v>
      </c>
    </row>
    <row r="345" spans="5:6" x14ac:dyDescent="0.2">
      <c r="E345">
        <v>177.79999999999842</v>
      </c>
      <c r="F345">
        <v>0.13564874022687115</v>
      </c>
    </row>
    <row r="346" spans="5:6" x14ac:dyDescent="0.2">
      <c r="E346">
        <v>177.89999999999841</v>
      </c>
      <c r="F346">
        <v>0.13480584229101436</v>
      </c>
    </row>
    <row r="347" spans="5:6" x14ac:dyDescent="0.2">
      <c r="E347">
        <v>177.99999999999841</v>
      </c>
      <c r="F347">
        <v>0.13396701559839078</v>
      </c>
    </row>
    <row r="348" spans="5:6" x14ac:dyDescent="0.2">
      <c r="E348">
        <v>178.0999999999984</v>
      </c>
      <c r="F348">
        <v>0.13313225074868959</v>
      </c>
    </row>
    <row r="349" spans="5:6" x14ac:dyDescent="0.2">
      <c r="E349">
        <v>178.1999999999984</v>
      </c>
      <c r="F349">
        <v>0.1323015382690039</v>
      </c>
    </row>
    <row r="350" spans="5:6" x14ac:dyDescent="0.2">
      <c r="E350">
        <v>178.29999999999839</v>
      </c>
      <c r="F350">
        <v>0.13147486861483851</v>
      </c>
    </row>
    <row r="351" spans="5:6" x14ac:dyDescent="0.2">
      <c r="E351">
        <v>178.39999999999839</v>
      </c>
      <c r="F351">
        <v>0.13065223217111677</v>
      </c>
    </row>
    <row r="352" spans="5:6" x14ac:dyDescent="0.2">
      <c r="E352">
        <v>178.49999999999838</v>
      </c>
      <c r="F352">
        <v>0.12983361925318065</v>
      </c>
    </row>
    <row r="353" spans="5:6" x14ac:dyDescent="0.2">
      <c r="E353">
        <v>178.59999999999837</v>
      </c>
      <c r="F353">
        <v>0.12901902010778948</v>
      </c>
    </row>
    <row r="354" spans="5:6" x14ac:dyDescent="0.2">
      <c r="E354">
        <v>178.69999999999837</v>
      </c>
      <c r="F354">
        <v>0.12820842491411433</v>
      </c>
    </row>
    <row r="355" spans="5:6" x14ac:dyDescent="0.2">
      <c r="E355">
        <v>178.79999999999836</v>
      </c>
      <c r="F355">
        <v>0.12740182378472811</v>
      </c>
    </row>
    <row r="356" spans="5:6" x14ac:dyDescent="0.2">
      <c r="E356">
        <v>178.89999999999836</v>
      </c>
      <c r="F356">
        <v>0.12659920676659253</v>
      </c>
    </row>
    <row r="357" spans="5:6" x14ac:dyDescent="0.2">
      <c r="E357">
        <v>178.99999999999835</v>
      </c>
      <c r="F357">
        <v>0.12580056384204108</v>
      </c>
    </row>
    <row r="358" spans="5:6" x14ac:dyDescent="0.2">
      <c r="E358">
        <v>179.09999999999835</v>
      </c>
      <c r="F358">
        <v>0.12500588492975864</v>
      </c>
    </row>
    <row r="359" spans="5:6" x14ac:dyDescent="0.2">
      <c r="E359">
        <v>179.19999999999834</v>
      </c>
      <c r="F359">
        <v>0.12421515988575595</v>
      </c>
    </row>
    <row r="360" spans="5:6" x14ac:dyDescent="0.2">
      <c r="E360">
        <v>179.29999999999833</v>
      </c>
      <c r="F360">
        <v>0.12342837850434102</v>
      </c>
    </row>
    <row r="361" spans="5:6" x14ac:dyDescent="0.2">
      <c r="E361">
        <v>179.39999999999833</v>
      </c>
      <c r="F361">
        <v>0.1226455305190871</v>
      </c>
    </row>
    <row r="362" spans="5:6" x14ac:dyDescent="0.2">
      <c r="E362">
        <v>179.49999999999832</v>
      </c>
      <c r="F362">
        <v>0.1218666056037947</v>
      </c>
    </row>
    <row r="363" spans="5:6" x14ac:dyDescent="0.2">
      <c r="E363">
        <v>179.59999999999832</v>
      </c>
      <c r="F363">
        <v>0.12109159337345161</v>
      </c>
    </row>
    <row r="364" spans="5:6" x14ac:dyDescent="0.2">
      <c r="E364">
        <v>179.69999999999831</v>
      </c>
      <c r="F364">
        <v>0.12032048338518764</v>
      </c>
    </row>
    <row r="365" spans="5:6" x14ac:dyDescent="0.2">
      <c r="E365">
        <v>179.79999999999831</v>
      </c>
      <c r="F365">
        <v>0.11955326513922504</v>
      </c>
    </row>
    <row r="366" spans="5:6" x14ac:dyDescent="0.2">
      <c r="E366">
        <v>179.8999999999983</v>
      </c>
      <c r="F366">
        <v>0.11878992807982595</v>
      </c>
    </row>
    <row r="367" spans="5:6" x14ac:dyDescent="0.2">
      <c r="E367">
        <v>179.99999999999829</v>
      </c>
      <c r="F367">
        <v>0.11803046159623352</v>
      </c>
    </row>
    <row r="368" spans="5:6" x14ac:dyDescent="0.2">
      <c r="E368">
        <v>180.09999999999829</v>
      </c>
      <c r="F368">
        <v>0.11727485502361108</v>
      </c>
    </row>
    <row r="369" spans="5:6" x14ac:dyDescent="0.2">
      <c r="E369">
        <v>180.19999999999828</v>
      </c>
      <c r="F369">
        <v>0.11652309764397518</v>
      </c>
    </row>
    <row r="370" spans="5:6" x14ac:dyDescent="0.2">
      <c r="E370">
        <v>180.29999999999828</v>
      </c>
      <c r="F370">
        <v>0.11577517868712503</v>
      </c>
    </row>
    <row r="371" spans="5:6" x14ac:dyDescent="0.2">
      <c r="E371">
        <v>180.39999999999827</v>
      </c>
      <c r="F371">
        <v>0.11503108733156774</v>
      </c>
    </row>
    <row r="372" spans="5:6" x14ac:dyDescent="0.2">
      <c r="E372">
        <v>180.49999999999827</v>
      </c>
      <c r="F372">
        <v>0.11429081270543835</v>
      </c>
    </row>
    <row r="373" spans="5:6" x14ac:dyDescent="0.2">
      <c r="E373">
        <v>180.59999999999826</v>
      </c>
      <c r="F373">
        <v>0.11355434388741614</v>
      </c>
    </row>
    <row r="374" spans="5:6" x14ac:dyDescent="0.2">
      <c r="E374">
        <v>180.69999999999825</v>
      </c>
      <c r="F374">
        <v>0.11282166990763598</v>
      </c>
    </row>
    <row r="375" spans="5:6" x14ac:dyDescent="0.2">
      <c r="E375">
        <v>180.79999999999825</v>
      </c>
      <c r="F375">
        <v>0.1120927797485952</v>
      </c>
    </row>
    <row r="376" spans="5:6" x14ac:dyDescent="0.2">
      <c r="E376">
        <v>180.89999999999824</v>
      </c>
      <c r="F376">
        <v>0.1113676623460565</v>
      </c>
    </row>
    <row r="377" spans="5:6" x14ac:dyDescent="0.2">
      <c r="E377">
        <v>180.99999999999824</v>
      </c>
      <c r="F377">
        <v>0.1106463065899447</v>
      </c>
    </row>
    <row r="378" spans="5:6" x14ac:dyDescent="0.2">
      <c r="E378">
        <v>181.09999999999823</v>
      </c>
      <c r="F378">
        <v>0.10992870132524092</v>
      </c>
    </row>
    <row r="379" spans="5:6" x14ac:dyDescent="0.2">
      <c r="E379">
        <v>181.19999999999823</v>
      </c>
      <c r="F379">
        <v>0.10921483535287038</v>
      </c>
    </row>
    <row r="380" spans="5:6" x14ac:dyDescent="0.2">
      <c r="E380">
        <v>181.29999999999822</v>
      </c>
      <c r="F380">
        <v>0.10850469743058623</v>
      </c>
    </row>
    <row r="381" spans="5:6" x14ac:dyDescent="0.2">
      <c r="E381">
        <v>181.39999999999822</v>
      </c>
      <c r="F381">
        <v>0.10779827627384908</v>
      </c>
    </row>
    <row r="382" spans="5:6" x14ac:dyDescent="0.2">
      <c r="E382">
        <v>181.49999999999821</v>
      </c>
      <c r="F382">
        <v>0.10709556055670037</v>
      </c>
    </row>
    <row r="383" spans="5:6" x14ac:dyDescent="0.2">
      <c r="E383">
        <v>181.5999999999982</v>
      </c>
      <c r="F383">
        <v>0.10639653891263268</v>
      </c>
    </row>
    <row r="384" spans="5:6" x14ac:dyDescent="0.2">
      <c r="E384">
        <v>181.6999999999982</v>
      </c>
      <c r="F384">
        <v>0.10570119993545352</v>
      </c>
    </row>
    <row r="385" spans="5:6" x14ac:dyDescent="0.2">
      <c r="E385">
        <v>181.79999999999819</v>
      </c>
      <c r="F385">
        <v>0.1050095321801465</v>
      </c>
    </row>
    <row r="386" spans="5:6" x14ac:dyDescent="0.2">
      <c r="E386">
        <v>181.89999999999819</v>
      </c>
      <c r="F386">
        <v>0.10432152416372475</v>
      </c>
    </row>
    <row r="387" spans="5:6" x14ac:dyDescent="0.2">
      <c r="E387">
        <v>181.99999999999818</v>
      </c>
      <c r="F387">
        <v>0.1036371643660822</v>
      </c>
    </row>
    <row r="388" spans="5:6" x14ac:dyDescent="0.2">
      <c r="E388">
        <v>182.09999999999818</v>
      </c>
      <c r="F388">
        <v>0.10295644123083796</v>
      </c>
    </row>
    <row r="389" spans="5:6" x14ac:dyDescent="0.2">
      <c r="E389">
        <v>182.19999999999817</v>
      </c>
      <c r="F389">
        <v>0.10227934316617739</v>
      </c>
    </row>
    <row r="390" spans="5:6" x14ac:dyDescent="0.2">
      <c r="E390">
        <v>182.29999999999816</v>
      </c>
      <c r="F390">
        <v>0.10160585854568624</v>
      </c>
    </row>
    <row r="391" spans="5:6" x14ac:dyDescent="0.2">
      <c r="E391">
        <v>182.39999999999816</v>
      </c>
      <c r="F391">
        <v>0.10093597570918247</v>
      </c>
    </row>
    <row r="392" spans="5:6" x14ac:dyDescent="0.2">
      <c r="E392">
        <v>182.49999999999815</v>
      </c>
      <c r="F392">
        <v>0.10026968296354</v>
      </c>
    </row>
    <row r="393" spans="5:6" x14ac:dyDescent="0.2">
      <c r="E393">
        <v>182.59999999999815</v>
      </c>
      <c r="F393">
        <v>9.9606968583510175E-2</v>
      </c>
    </row>
    <row r="394" spans="5:6" x14ac:dyDescent="0.2">
      <c r="E394">
        <v>182.69999999999814</v>
      </c>
      <c r="F394">
        <v>9.8947820812536225E-2</v>
      </c>
    </row>
    <row r="395" spans="5:6" x14ac:dyDescent="0.2">
      <c r="E395">
        <v>182.79999999999814</v>
      </c>
      <c r="F395">
        <v>9.8292227863564424E-2</v>
      </c>
    </row>
    <row r="396" spans="5:6" x14ac:dyDescent="0.2">
      <c r="E396">
        <v>182.89999999999813</v>
      </c>
      <c r="F396">
        <v>9.7640177919848192E-2</v>
      </c>
    </row>
    <row r="397" spans="5:6" x14ac:dyDescent="0.2">
      <c r="E397">
        <v>182.99999999999812</v>
      </c>
      <c r="F397">
        <v>9.6991659135748962E-2</v>
      </c>
    </row>
    <row r="398" spans="5:6" x14ac:dyDescent="0.2">
      <c r="E398">
        <v>183.09999999999812</v>
      </c>
      <c r="F398">
        <v>9.6346659637530724E-2</v>
      </c>
    </row>
    <row r="399" spans="5:6" x14ac:dyDescent="0.2">
      <c r="E399">
        <v>183.19999999999811</v>
      </c>
      <c r="F399">
        <v>9.5705167524150037E-2</v>
      </c>
    </row>
    <row r="400" spans="5:6" x14ac:dyDescent="0.2">
      <c r="E400">
        <v>183.29999999999811</v>
      </c>
      <c r="F400">
        <v>9.5067170868040424E-2</v>
      </c>
    </row>
    <row r="401" spans="5:6" x14ac:dyDescent="0.2">
      <c r="E401">
        <v>183.3999999999981</v>
      </c>
      <c r="F401">
        <v>9.4432657715892404E-2</v>
      </c>
    </row>
    <row r="402" spans="5:6" x14ac:dyDescent="0.2">
      <c r="E402">
        <v>183.4999999999981</v>
      </c>
      <c r="F402">
        <v>9.3801616089427678E-2</v>
      </c>
    </row>
    <row r="403" spans="5:6" x14ac:dyDescent="0.2">
      <c r="E403">
        <v>183.59999999999809</v>
      </c>
      <c r="F403">
        <v>9.3174033986167873E-2</v>
      </c>
    </row>
    <row r="404" spans="5:6" x14ac:dyDescent="0.2">
      <c r="E404">
        <v>183.69999999999808</v>
      </c>
      <c r="F404">
        <v>9.2549899380199419E-2</v>
      </c>
    </row>
    <row r="405" spans="5:6" x14ac:dyDescent="0.2">
      <c r="E405">
        <v>183.79999999999808</v>
      </c>
      <c r="F405">
        <v>9.1929200222931856E-2</v>
      </c>
    </row>
    <row r="406" spans="5:6" x14ac:dyDescent="0.2">
      <c r="E406">
        <v>183.89999999999807</v>
      </c>
      <c r="F406">
        <v>9.131192444385125E-2</v>
      </c>
    </row>
    <row r="407" spans="5:6" x14ac:dyDescent="0.2">
      <c r="E407">
        <v>183.99999999999807</v>
      </c>
      <c r="F407">
        <v>9.0698059951269464E-2</v>
      </c>
    </row>
    <row r="408" spans="5:6" x14ac:dyDescent="0.2">
      <c r="E408">
        <v>184.09999999999806</v>
      </c>
      <c r="F408">
        <v>9.0087594633065829E-2</v>
      </c>
    </row>
    <row r="409" spans="5:6" x14ac:dyDescent="0.2">
      <c r="E409">
        <v>184.19999999999806</v>
      </c>
      <c r="F409">
        <v>8.9480516357426598E-2</v>
      </c>
    </row>
    <row r="410" spans="5:6" x14ac:dyDescent="0.2">
      <c r="E410">
        <v>184.29999999999805</v>
      </c>
      <c r="F410">
        <v>8.887681297357676E-2</v>
      </c>
    </row>
    <row r="411" spans="5:6" x14ac:dyDescent="0.2">
      <c r="E411">
        <v>184.39999999999804</v>
      </c>
      <c r="F411">
        <v>8.8276472312507528E-2</v>
      </c>
    </row>
    <row r="412" spans="5:6" x14ac:dyDescent="0.2">
      <c r="E412">
        <v>184.49999999999804</v>
      </c>
      <c r="F412">
        <v>8.7679482187698554E-2</v>
      </c>
    </row>
    <row r="413" spans="5:6" x14ac:dyDescent="0.2">
      <c r="E413">
        <v>184.59999999999803</v>
      </c>
      <c r="F413">
        <v>8.7085830395834868E-2</v>
      </c>
    </row>
    <row r="414" spans="5:6" x14ac:dyDescent="0.2">
      <c r="E414">
        <v>184.69999999999803</v>
      </c>
      <c r="F414">
        <v>8.6495504717518462E-2</v>
      </c>
    </row>
    <row r="415" spans="5:6" x14ac:dyDescent="0.2">
      <c r="E415">
        <v>184.79999999999802</v>
      </c>
      <c r="F415">
        <v>8.5908492917974102E-2</v>
      </c>
    </row>
    <row r="416" spans="5:6" x14ac:dyDescent="0.2">
      <c r="E416">
        <v>184.89999999999802</v>
      </c>
      <c r="F416">
        <v>8.5324782747751321E-2</v>
      </c>
    </row>
    <row r="417" spans="5:6" x14ac:dyDescent="0.2">
      <c r="E417">
        <v>184.99999999999801</v>
      </c>
      <c r="F417">
        <v>8.4744361943419208E-2</v>
      </c>
    </row>
    <row r="418" spans="5:6" x14ac:dyDescent="0.2">
      <c r="E418">
        <v>185.099999999998</v>
      </c>
      <c r="F418">
        <v>8.416721822825711E-2</v>
      </c>
    </row>
    <row r="419" spans="5:6" x14ac:dyDescent="0.2">
      <c r="E419">
        <v>185.199999999998</v>
      </c>
      <c r="F419">
        <v>8.3593339312939816E-2</v>
      </c>
    </row>
    <row r="420" spans="5:6" x14ac:dyDescent="0.2">
      <c r="E420">
        <v>185.29999999999799</v>
      </c>
      <c r="F420">
        <v>8.302271289621739E-2</v>
      </c>
    </row>
    <row r="421" spans="5:6" x14ac:dyDescent="0.2">
      <c r="E421">
        <v>185.39999999999799</v>
      </c>
      <c r="F421">
        <v>8.2455326665589454E-2</v>
      </c>
    </row>
    <row r="422" spans="5:6" x14ac:dyDescent="0.2">
      <c r="E422">
        <v>185.49999999999798</v>
      </c>
      <c r="F422">
        <v>8.1891168297974576E-2</v>
      </c>
    </row>
    <row r="423" spans="5:6" x14ac:dyDescent="0.2">
      <c r="E423">
        <v>185.59999999999798</v>
      </c>
      <c r="F423">
        <v>8.1330225460374134E-2</v>
      </c>
    </row>
    <row r="424" spans="5:6" x14ac:dyDescent="0.2">
      <c r="E424">
        <v>185.69999999999797</v>
      </c>
      <c r="F424">
        <v>8.077248581053062E-2</v>
      </c>
    </row>
    <row r="425" spans="5:6" x14ac:dyDescent="0.2">
      <c r="E425">
        <v>185.79999999999797</v>
      </c>
      <c r="F425">
        <v>8.0217936997581063E-2</v>
      </c>
    </row>
    <row r="426" spans="5:6" x14ac:dyDescent="0.2">
      <c r="E426">
        <v>185.89999999999796</v>
      </c>
      <c r="F426">
        <v>7.9666566662705079E-2</v>
      </c>
    </row>
    <row r="427" spans="5:6" x14ac:dyDescent="0.2">
      <c r="E427">
        <v>185.99999999999795</v>
      </c>
      <c r="F427">
        <v>7.9118362439766901E-2</v>
      </c>
    </row>
    <row r="428" spans="5:6" x14ac:dyDescent="0.2">
      <c r="E428">
        <v>186.09999999999795</v>
      </c>
      <c r="F428">
        <v>7.8573311955953795E-2</v>
      </c>
    </row>
    <row r="429" spans="5:6" x14ac:dyDescent="0.2">
      <c r="E429">
        <v>186.19999999999794</v>
      </c>
      <c r="F429">
        <v>7.8031402832406754E-2</v>
      </c>
    </row>
    <row r="430" spans="5:6" x14ac:dyDescent="0.2">
      <c r="E430">
        <v>186.29999999999794</v>
      </c>
      <c r="F430">
        <v>7.7492622684848092E-2</v>
      </c>
    </row>
    <row r="431" spans="5:6" x14ac:dyDescent="0.2">
      <c r="E431">
        <v>186.39999999999793</v>
      </c>
      <c r="F431">
        <v>7.6956959124202473E-2</v>
      </c>
    </row>
    <row r="432" spans="5:6" x14ac:dyDescent="0.2">
      <c r="E432">
        <v>186.49999999999793</v>
      </c>
      <c r="F432">
        <v>7.6424399757213032E-2</v>
      </c>
    </row>
    <row r="433" spans="5:6" x14ac:dyDescent="0.2">
      <c r="E433">
        <v>186.59999999999792</v>
      </c>
      <c r="F433">
        <v>7.5894932187051872E-2</v>
      </c>
    </row>
    <row r="434" spans="5:6" x14ac:dyDescent="0.2">
      <c r="E434">
        <v>186.69999999999791</v>
      </c>
      <c r="F434">
        <v>7.5368544013926272E-2</v>
      </c>
    </row>
    <row r="435" spans="5:6" x14ac:dyDescent="0.2">
      <c r="E435">
        <v>186.79999999999791</v>
      </c>
      <c r="F435">
        <v>7.4845222835678044E-2</v>
      </c>
    </row>
    <row r="436" spans="5:6" x14ac:dyDescent="0.2">
      <c r="E436">
        <v>186.8999999999979</v>
      </c>
      <c r="F436">
        <v>7.4324956248379315E-2</v>
      </c>
    </row>
    <row r="437" spans="5:6" x14ac:dyDescent="0.2">
      <c r="E437">
        <v>186.9999999999979</v>
      </c>
      <c r="F437">
        <v>7.3807731846920854E-2</v>
      </c>
    </row>
    <row r="438" spans="5:6" x14ac:dyDescent="0.2">
      <c r="E438">
        <v>187.09999999999789</v>
      </c>
      <c r="F438">
        <v>7.3293537225598129E-2</v>
      </c>
    </row>
    <row r="439" spans="5:6" x14ac:dyDescent="0.2">
      <c r="E439">
        <v>187.19999999999789</v>
      </c>
      <c r="F439">
        <v>7.278235997868876E-2</v>
      </c>
    </row>
    <row r="440" spans="5:6" x14ac:dyDescent="0.2">
      <c r="E440">
        <v>187.29999999999788</v>
      </c>
      <c r="F440">
        <v>7.2274187701027504E-2</v>
      </c>
    </row>
    <row r="441" spans="5:6" x14ac:dyDescent="0.2">
      <c r="E441">
        <v>187.39999999999787</v>
      </c>
      <c r="F441">
        <v>7.1769007988574093E-2</v>
      </c>
    </row>
    <row r="442" spans="5:6" x14ac:dyDescent="0.2">
      <c r="E442">
        <v>187.49999999999787</v>
      </c>
      <c r="F442">
        <v>7.1266808438977286E-2</v>
      </c>
    </row>
    <row r="443" spans="5:6" x14ac:dyDescent="0.2">
      <c r="E443">
        <v>187.59999999999786</v>
      </c>
      <c r="F443">
        <v>7.0767576652132055E-2</v>
      </c>
    </row>
    <row r="444" spans="5:6" x14ac:dyDescent="0.2">
      <c r="E444">
        <v>187.69999999999786</v>
      </c>
      <c r="F444">
        <v>7.0271300230733053E-2</v>
      </c>
    </row>
    <row r="445" spans="5:6" x14ac:dyDescent="0.2">
      <c r="E445">
        <v>187.79999999999785</v>
      </c>
      <c r="F445">
        <v>6.9777966780822348E-2</v>
      </c>
    </row>
    <row r="446" spans="5:6" x14ac:dyDescent="0.2">
      <c r="E446">
        <v>187.89999999999785</v>
      </c>
      <c r="F446">
        <v>6.9287563912331276E-2</v>
      </c>
    </row>
    <row r="447" spans="5:6" x14ac:dyDescent="0.2">
      <c r="E447">
        <v>187.99999999999784</v>
      </c>
      <c r="F447">
        <v>6.8800079239618242E-2</v>
      </c>
    </row>
    <row r="448" spans="5:6" x14ac:dyDescent="0.2">
      <c r="E448">
        <v>188.09999999999783</v>
      </c>
      <c r="F448">
        <v>6.8315500382000363E-2</v>
      </c>
    </row>
    <row r="449" spans="5:6" x14ac:dyDescent="0.2">
      <c r="E449">
        <v>188.19999999999783</v>
      </c>
      <c r="F449">
        <v>6.7833814964280301E-2</v>
      </c>
    </row>
    <row r="450" spans="5:6" x14ac:dyDescent="0.2">
      <c r="E450">
        <v>188.29999999999782</v>
      </c>
      <c r="F450">
        <v>6.7355010617268632E-2</v>
      </c>
    </row>
    <row r="451" spans="5:6" x14ac:dyDescent="0.2">
      <c r="E451">
        <v>188.39999999999782</v>
      </c>
      <c r="F451">
        <v>6.687907497829923E-2</v>
      </c>
    </row>
    <row r="452" spans="5:6" x14ac:dyDescent="0.2">
      <c r="E452">
        <v>188.49999999999781</v>
      </c>
      <c r="F452">
        <v>6.6405995691741437E-2</v>
      </c>
    </row>
    <row r="453" spans="5:6" x14ac:dyDescent="0.2">
      <c r="E453">
        <v>188.59999999999781</v>
      </c>
      <c r="F453">
        <v>6.5935760409506092E-2</v>
      </c>
    </row>
    <row r="454" spans="5:6" x14ac:dyDescent="0.2">
      <c r="E454">
        <v>188.6999999999978</v>
      </c>
      <c r="F454">
        <v>6.5468356791546611E-2</v>
      </c>
    </row>
    <row r="455" spans="5:6" x14ac:dyDescent="0.2">
      <c r="E455">
        <v>188.79999999999779</v>
      </c>
      <c r="F455">
        <v>6.5003772506355237E-2</v>
      </c>
    </row>
    <row r="456" spans="5:6" x14ac:dyDescent="0.2">
      <c r="E456">
        <v>188.89999999999779</v>
      </c>
      <c r="F456">
        <v>6.454199523145332E-2</v>
      </c>
    </row>
    <row r="457" spans="5:6" x14ac:dyDescent="0.2">
      <c r="E457">
        <v>188.99999999999778</v>
      </c>
      <c r="F457">
        <v>6.4083012653877433E-2</v>
      </c>
    </row>
    <row r="458" spans="5:6" x14ac:dyDescent="0.2">
      <c r="E458">
        <v>189.09999999999778</v>
      </c>
      <c r="F458">
        <v>6.3626812470660793E-2</v>
      </c>
    </row>
    <row r="459" spans="5:6" x14ac:dyDescent="0.2">
      <c r="E459">
        <v>189.19999999999777</v>
      </c>
      <c r="F459">
        <v>6.3173382389307614E-2</v>
      </c>
    </row>
    <row r="460" spans="5:6" x14ac:dyDescent="0.2">
      <c r="E460">
        <v>189.29999999999777</v>
      </c>
      <c r="F460">
        <v>6.2722710128264927E-2</v>
      </c>
    </row>
    <row r="461" spans="5:6" x14ac:dyDescent="0.2">
      <c r="E461">
        <v>189.39999999999776</v>
      </c>
      <c r="F461">
        <v>6.2274783417387541E-2</v>
      </c>
    </row>
    <row r="462" spans="5:6" x14ac:dyDescent="0.2">
      <c r="E462">
        <v>189.49999999999775</v>
      </c>
      <c r="F462">
        <v>6.1829589998398715E-2</v>
      </c>
    </row>
    <row r="463" spans="5:6" x14ac:dyDescent="0.2">
      <c r="E463">
        <v>189.59999999999775</v>
      </c>
      <c r="F463">
        <v>6.1387117625346051E-2</v>
      </c>
    </row>
    <row r="464" spans="5:6" x14ac:dyDescent="0.2">
      <c r="E464">
        <v>189.69999999999774</v>
      </c>
      <c r="F464">
        <v>6.0947354065051591E-2</v>
      </c>
    </row>
    <row r="465" spans="5:6" x14ac:dyDescent="0.2">
      <c r="E465">
        <v>189.79999999999774</v>
      </c>
      <c r="F465">
        <v>6.0510287097558096E-2</v>
      </c>
    </row>
    <row r="466" spans="5:6" x14ac:dyDescent="0.2">
      <c r="E466">
        <v>189.89999999999773</v>
      </c>
      <c r="F466">
        <v>6.0075904516569037E-2</v>
      </c>
    </row>
    <row r="467" spans="5:6" x14ac:dyDescent="0.2">
      <c r="E467">
        <v>189.99999999999773</v>
      </c>
      <c r="F467">
        <v>5.9644194129884844E-2</v>
      </c>
    </row>
    <row r="468" spans="5:6" x14ac:dyDescent="0.2">
      <c r="E468">
        <v>190.09999999999772</v>
      </c>
      <c r="F468">
        <v>5.9215143759833638E-2</v>
      </c>
    </row>
    <row r="469" spans="5:6" x14ac:dyDescent="0.2">
      <c r="E469">
        <v>190.19999999999771</v>
      </c>
      <c r="F469">
        <v>5.8788741243697054E-2</v>
      </c>
    </row>
    <row r="470" spans="5:6" x14ac:dyDescent="0.2">
      <c r="E470">
        <v>190.29999999999771</v>
      </c>
      <c r="F470">
        <v>5.8364974434131155E-2</v>
      </c>
    </row>
    <row r="471" spans="5:6" x14ac:dyDescent="0.2">
      <c r="E471">
        <v>190.3999999999977</v>
      </c>
      <c r="F471">
        <v>5.7943831199582907E-2</v>
      </c>
    </row>
    <row r="472" spans="5:6" x14ac:dyDescent="0.2">
      <c r="E472">
        <v>190.4999999999977</v>
      </c>
      <c r="F472">
        <v>5.7525299424701311E-2</v>
      </c>
    </row>
    <row r="473" spans="5:6" x14ac:dyDescent="0.2">
      <c r="E473">
        <v>190.59999999999769</v>
      </c>
      <c r="F473">
        <v>5.7109367010744129E-2</v>
      </c>
    </row>
    <row r="474" spans="5:6" x14ac:dyDescent="0.2">
      <c r="E474">
        <v>190.69999999999769</v>
      </c>
      <c r="F474">
        <v>5.6696021875979032E-2</v>
      </c>
    </row>
    <row r="475" spans="5:6" x14ac:dyDescent="0.2">
      <c r="E475">
        <v>190.79999999999768</v>
      </c>
      <c r="F475">
        <v>5.6285251956080952E-2</v>
      </c>
    </row>
    <row r="476" spans="5:6" x14ac:dyDescent="0.2">
      <c r="E476">
        <v>190.89999999999768</v>
      </c>
      <c r="F476">
        <v>5.587704520452396E-2</v>
      </c>
    </row>
    <row r="477" spans="5:6" x14ac:dyDescent="0.2">
      <c r="E477">
        <v>190.99999999999767</v>
      </c>
      <c r="F477">
        <v>5.5471389592968955E-2</v>
      </c>
    </row>
    <row r="478" spans="5:6" x14ac:dyDescent="0.2">
      <c r="E478">
        <v>191.09999999999766</v>
      </c>
      <c r="F478">
        <v>5.5068273111645583E-2</v>
      </c>
    </row>
    <row r="479" spans="5:6" x14ac:dyDescent="0.2">
      <c r="E479">
        <v>191.19999999999766</v>
      </c>
      <c r="F479">
        <v>5.4667683769730746E-2</v>
      </c>
    </row>
    <row r="480" spans="5:6" x14ac:dyDescent="0.2">
      <c r="E480">
        <v>191.29999999999765</v>
      </c>
      <c r="F480">
        <v>5.4269609595721448E-2</v>
      </c>
    </row>
    <row r="481" spans="5:6" x14ac:dyDescent="0.2">
      <c r="E481">
        <v>191.39999999999765</v>
      </c>
      <c r="F481">
        <v>5.387403863780351E-2</v>
      </c>
    </row>
    <row r="482" spans="5:6" x14ac:dyDescent="0.2">
      <c r="E482">
        <v>191.49999999999764</v>
      </c>
      <c r="F482">
        <v>5.3480958964215113E-2</v>
      </c>
    </row>
    <row r="483" spans="5:6" x14ac:dyDescent="0.2">
      <c r="E483">
        <v>191.59999999999764</v>
      </c>
      <c r="F483">
        <v>5.3090358663606202E-2</v>
      </c>
    </row>
    <row r="484" spans="5:6" x14ac:dyDescent="0.2">
      <c r="E484">
        <v>191.69999999999763</v>
      </c>
      <c r="F484">
        <v>5.270222584539324E-2</v>
      </c>
    </row>
    <row r="485" spans="5:6" x14ac:dyDescent="0.2">
      <c r="E485">
        <v>191.79999999999762</v>
      </c>
      <c r="F485">
        <v>5.2316548640108686E-2</v>
      </c>
    </row>
    <row r="486" spans="5:6" x14ac:dyDescent="0.2">
      <c r="E486">
        <v>191.89999999999762</v>
      </c>
      <c r="F486">
        <v>5.1933315199746616E-2</v>
      </c>
    </row>
    <row r="487" spans="5:6" x14ac:dyDescent="0.2">
      <c r="E487">
        <v>191.99999999999761</v>
      </c>
      <c r="F487">
        <v>5.1552513698103868E-2</v>
      </c>
    </row>
    <row r="488" spans="5:6" x14ac:dyDescent="0.2">
      <c r="E488">
        <v>192.09999999999761</v>
      </c>
      <c r="F488">
        <v>5.1174132331115715E-2</v>
      </c>
    </row>
    <row r="489" spans="5:6" x14ac:dyDescent="0.2">
      <c r="E489">
        <v>192.1999999999976</v>
      </c>
      <c r="F489">
        <v>5.0798159317188396E-2</v>
      </c>
    </row>
    <row r="490" spans="5:6" x14ac:dyDescent="0.2">
      <c r="E490">
        <v>192.2999999999976</v>
      </c>
      <c r="F490">
        <v>5.0424582897525883E-2</v>
      </c>
    </row>
    <row r="491" spans="5:6" x14ac:dyDescent="0.2">
      <c r="E491">
        <v>192.39999999999759</v>
      </c>
      <c r="F491">
        <v>5.0053391336452452E-2</v>
      </c>
    </row>
    <row r="492" spans="5:6" x14ac:dyDescent="0.2">
      <c r="E492">
        <v>192.49999999999758</v>
      </c>
      <c r="F492">
        <v>4.9684572921731909E-2</v>
      </c>
    </row>
    <row r="493" spans="5:6" x14ac:dyDescent="0.2">
      <c r="E493">
        <v>192.59999999999758</v>
      </c>
      <c r="F493">
        <v>4.9318115964880643E-2</v>
      </c>
    </row>
    <row r="494" spans="5:6" x14ac:dyDescent="0.2">
      <c r="E494">
        <v>192.69999999999757</v>
      </c>
      <c r="F494">
        <v>4.8954008801477981E-2</v>
      </c>
    </row>
    <row r="495" spans="5:6" x14ac:dyDescent="0.2">
      <c r="E495">
        <v>192.79999999999757</v>
      </c>
      <c r="F495">
        <v>4.8592239791470218E-2</v>
      </c>
    </row>
    <row r="496" spans="5:6" x14ac:dyDescent="0.2">
      <c r="E496">
        <v>192.89999999999756</v>
      </c>
      <c r="F496">
        <v>4.8232797319472748E-2</v>
      </c>
    </row>
    <row r="497" spans="5:6" x14ac:dyDescent="0.2">
      <c r="E497">
        <v>192.99999999999756</v>
      </c>
      <c r="F497">
        <v>4.7875669795065398E-2</v>
      </c>
    </row>
    <row r="498" spans="5:6" x14ac:dyDescent="0.2">
      <c r="E498">
        <v>193.09999999999755</v>
      </c>
      <c r="F498">
        <v>4.752084565308496E-2</v>
      </c>
    </row>
    <row r="499" spans="5:6" x14ac:dyDescent="0.2">
      <c r="E499">
        <v>193.19999999999754</v>
      </c>
      <c r="F499">
        <v>4.7168313353913388E-2</v>
      </c>
    </row>
    <row r="500" spans="5:6" x14ac:dyDescent="0.2">
      <c r="E500">
        <v>193.29999999999754</v>
      </c>
      <c r="F500">
        <v>4.6818061383760573E-2</v>
      </c>
    </row>
    <row r="501" spans="5:6" x14ac:dyDescent="0.2">
      <c r="E501">
        <v>193.39999999999753</v>
      </c>
      <c r="F501">
        <v>4.6470078254944314E-2</v>
      </c>
    </row>
    <row r="502" spans="5:6" x14ac:dyDescent="0.2">
      <c r="E502">
        <v>193.49999999999753</v>
      </c>
      <c r="F502">
        <v>4.6124352506165124E-2</v>
      </c>
    </row>
    <row r="503" spans="5:6" x14ac:dyDescent="0.2">
      <c r="E503">
        <v>193.59999999999752</v>
      </c>
      <c r="F503">
        <v>4.5780872702777108E-2</v>
      </c>
    </row>
    <row r="504" spans="5:6" x14ac:dyDescent="0.2">
      <c r="E504">
        <v>193.69999999999752</v>
      </c>
      <c r="F504">
        <v>4.5439627437054833E-2</v>
      </c>
    </row>
    <row r="505" spans="5:6" x14ac:dyDescent="0.2">
      <c r="E505">
        <v>193.79999999999751</v>
      </c>
      <c r="F505">
        <v>4.5100605328455674E-2</v>
      </c>
    </row>
    <row r="506" spans="5:6" x14ac:dyDescent="0.2">
      <c r="E506">
        <v>193.8999999999975</v>
      </c>
      <c r="F506">
        <v>4.4763795023878325E-2</v>
      </c>
    </row>
    <row r="507" spans="5:6" x14ac:dyDescent="0.2">
      <c r="E507">
        <v>193.9999999999975</v>
      </c>
      <c r="F507">
        <v>4.4429185197917276E-2</v>
      </c>
    </row>
    <row r="508" spans="5:6" x14ac:dyDescent="0.2">
      <c r="E508">
        <v>194.09999999999749</v>
      </c>
      <c r="F508">
        <v>4.4096764553112615E-2</v>
      </c>
    </row>
    <row r="509" spans="5:6" x14ac:dyDescent="0.2">
      <c r="E509">
        <v>194.19999999999749</v>
      </c>
      <c r="F509">
        <v>4.3766521820196663E-2</v>
      </c>
    </row>
    <row r="510" spans="5:6" x14ac:dyDescent="0.2">
      <c r="E510">
        <v>194.29999999999748</v>
      </c>
      <c r="F510">
        <v>4.3438445758336018E-2</v>
      </c>
    </row>
    <row r="511" spans="5:6" x14ac:dyDescent="0.2">
      <c r="E511">
        <v>194.39999999999748</v>
      </c>
      <c r="F511">
        <v>4.3112525155369473E-2</v>
      </c>
    </row>
    <row r="512" spans="5:6" x14ac:dyDescent="0.2">
      <c r="E512">
        <v>194.49999999999747</v>
      </c>
      <c r="F512">
        <v>4.2788748828042338E-2</v>
      </c>
    </row>
    <row r="513" spans="5:6" x14ac:dyDescent="0.2">
      <c r="E513">
        <v>194.59999999999746</v>
      </c>
      <c r="F513">
        <v>4.2467105622236448E-2</v>
      </c>
    </row>
    <row r="514" spans="5:6" x14ac:dyDescent="0.2">
      <c r="E514">
        <v>194.69999999999746</v>
      </c>
      <c r="F514">
        <v>4.2147584413196708E-2</v>
      </c>
    </row>
    <row r="515" spans="5:6" x14ac:dyDescent="0.2">
      <c r="E515">
        <v>194.79999999999745</v>
      </c>
      <c r="F515">
        <v>4.1830174105753265E-2</v>
      </c>
    </row>
    <row r="516" spans="5:6" x14ac:dyDescent="0.2">
      <c r="E516">
        <v>194.89999999999745</v>
      </c>
      <c r="F516">
        <v>4.1514863634539836E-2</v>
      </c>
    </row>
    <row r="517" spans="5:6" x14ac:dyDescent="0.2">
      <c r="E517">
        <v>194.99999999999744</v>
      </c>
      <c r="F517">
        <v>4.1201641964208453E-2</v>
      </c>
    </row>
    <row r="518" spans="5:6" x14ac:dyDescent="0.2">
      <c r="E518">
        <v>195.09999999999744</v>
      </c>
      <c r="F518">
        <v>4.089049808963998E-2</v>
      </c>
    </row>
    <row r="519" spans="5:6" x14ac:dyDescent="0.2">
      <c r="E519">
        <v>195.19999999999743</v>
      </c>
      <c r="F519">
        <v>4.0581421036151623E-2</v>
      </c>
    </row>
    <row r="520" spans="5:6" x14ac:dyDescent="0.2">
      <c r="E520">
        <v>195.29999999999742</v>
      </c>
      <c r="F520">
        <v>4.0274399859699231E-2</v>
      </c>
    </row>
    <row r="521" spans="5:6" x14ac:dyDescent="0.2">
      <c r="E521">
        <v>195.39999999999742</v>
      </c>
      <c r="F521">
        <v>3.9969423647077458E-2</v>
      </c>
    </row>
    <row r="522" spans="5:6" x14ac:dyDescent="0.2">
      <c r="E522">
        <v>195.49999999999741</v>
      </c>
      <c r="F522">
        <v>3.9666481516114821E-2</v>
      </c>
    </row>
    <row r="523" spans="5:6" x14ac:dyDescent="0.2">
      <c r="E523">
        <v>195.59999999999741</v>
      </c>
      <c r="F523">
        <v>3.936556261586583E-2</v>
      </c>
    </row>
    <row r="524" spans="5:6" x14ac:dyDescent="0.2">
      <c r="E524">
        <v>195.6999999999974</v>
      </c>
      <c r="F524">
        <v>3.9066656126799604E-2</v>
      </c>
    </row>
    <row r="525" spans="5:6" x14ac:dyDescent="0.2">
      <c r="E525">
        <v>195.7999999999974</v>
      </c>
      <c r="F525">
        <v>3.8769751260983608E-2</v>
      </c>
    </row>
    <row r="526" spans="5:6" x14ac:dyDescent="0.2">
      <c r="E526">
        <v>195.89999999999739</v>
      </c>
      <c r="F526">
        <v>3.8474837262265436E-2</v>
      </c>
    </row>
    <row r="527" spans="5:6" x14ac:dyDescent="0.2">
      <c r="E527">
        <v>195.99999999999739</v>
      </c>
      <c r="F527">
        <v>3.8181903406449599E-2</v>
      </c>
    </row>
    <row r="528" spans="5:6" x14ac:dyDescent="0.2">
      <c r="E528">
        <v>196.09999999999738</v>
      </c>
      <c r="F528">
        <v>3.7890939001471523E-2</v>
      </c>
    </row>
    <row r="529" spans="5:6" x14ac:dyDescent="0.2">
      <c r="E529">
        <v>196.19999999999737</v>
      </c>
      <c r="F529">
        <v>3.7601933387567489E-2</v>
      </c>
    </row>
    <row r="530" spans="5:6" x14ac:dyDescent="0.2">
      <c r="E530">
        <v>196.29999999999737</v>
      </c>
      <c r="F530">
        <v>3.7314875937441538E-2</v>
      </c>
    </row>
    <row r="531" spans="5:6" x14ac:dyDescent="0.2">
      <c r="E531">
        <v>196.39999999999736</v>
      </c>
      <c r="F531">
        <v>3.7029756056428338E-2</v>
      </c>
    </row>
    <row r="532" spans="5:6" x14ac:dyDescent="0.2">
      <c r="E532">
        <v>196.49999999999736</v>
      </c>
      <c r="F532">
        <v>3.6746563182653014E-2</v>
      </c>
    </row>
    <row r="533" spans="5:6" x14ac:dyDescent="0.2">
      <c r="E533">
        <v>196.59999999999735</v>
      </c>
      <c r="F533">
        <v>3.6465286787187107E-2</v>
      </c>
    </row>
    <row r="534" spans="5:6" x14ac:dyDescent="0.2">
      <c r="E534">
        <v>196.69999999999735</v>
      </c>
      <c r="F534">
        <v>3.618591637420171E-2</v>
      </c>
    </row>
    <row r="535" spans="5:6" x14ac:dyDescent="0.2">
      <c r="E535">
        <v>196.79999999999734</v>
      </c>
      <c r="F535">
        <v>3.5908441481116153E-2</v>
      </c>
    </row>
    <row r="536" spans="5:6" x14ac:dyDescent="0.2">
      <c r="E536">
        <v>196.89999999999733</v>
      </c>
      <c r="F536">
        <v>3.5632851678744561E-2</v>
      </c>
    </row>
    <row r="537" spans="5:6" x14ac:dyDescent="0.2">
      <c r="E537">
        <v>196.99999999999733</v>
      </c>
      <c r="F537">
        <v>3.5359136571438132E-2</v>
      </c>
    </row>
    <row r="538" spans="5:6" x14ac:dyDescent="0.2">
      <c r="E538">
        <v>197.09999999999732</v>
      </c>
      <c r="F538">
        <v>3.50872857972244E-2</v>
      </c>
    </row>
    <row r="539" spans="5:6" x14ac:dyDescent="0.2">
      <c r="E539">
        <v>197.19999999999732</v>
      </c>
      <c r="F539">
        <v>3.4817289027943302E-2</v>
      </c>
    </row>
    <row r="540" spans="5:6" x14ac:dyDescent="0.2">
      <c r="E540">
        <v>197.29999999999731</v>
      </c>
      <c r="F540">
        <v>3.4549135969379433E-2</v>
      </c>
    </row>
    <row r="541" spans="5:6" x14ac:dyDescent="0.2">
      <c r="E541">
        <v>197.39999999999731</v>
      </c>
      <c r="F541">
        <v>3.4282816361392118E-2</v>
      </c>
    </row>
    <row r="542" spans="5:6" x14ac:dyDescent="0.2">
      <c r="E542">
        <v>197.4999999999973</v>
      </c>
      <c r="F542">
        <v>3.4018319978040869E-2</v>
      </c>
    </row>
    <row r="543" spans="5:6" x14ac:dyDescent="0.2">
      <c r="E543">
        <v>197.59999999999729</v>
      </c>
      <c r="F543">
        <v>3.3755636627708856E-2</v>
      </c>
    </row>
    <row r="544" spans="5:6" x14ac:dyDescent="0.2">
      <c r="E544">
        <v>197.69999999999729</v>
      </c>
      <c r="F544">
        <v>3.3494756153222296E-2</v>
      </c>
    </row>
    <row r="545" spans="5:6" x14ac:dyDescent="0.2">
      <c r="E545">
        <v>197.79999999999728</v>
      </c>
      <c r="F545">
        <v>3.3235668431967506E-2</v>
      </c>
    </row>
    <row r="546" spans="5:6" x14ac:dyDescent="0.2">
      <c r="E546">
        <v>197.89999999999728</v>
      </c>
      <c r="F546">
        <v>3.2978363376003787E-2</v>
      </c>
    </row>
    <row r="547" spans="5:6" x14ac:dyDescent="0.2">
      <c r="E547">
        <v>197.99999999999727</v>
      </c>
      <c r="F547">
        <v>3.2722830932174408E-2</v>
      </c>
    </row>
    <row r="548" spans="5:6" x14ac:dyDescent="0.2">
      <c r="E548">
        <v>198.09999999999727</v>
      </c>
      <c r="F548">
        <v>3.2469061082213521E-2</v>
      </c>
    </row>
    <row r="549" spans="5:6" x14ac:dyDescent="0.2">
      <c r="E549">
        <v>198.19999999999726</v>
      </c>
      <c r="F549">
        <v>3.2217043842850422E-2</v>
      </c>
    </row>
    <row r="550" spans="5:6" x14ac:dyDescent="0.2">
      <c r="E550">
        <v>198.29999999999725</v>
      </c>
      <c r="F550">
        <v>3.196676926591098E-2</v>
      </c>
    </row>
    <row r="551" spans="5:6" x14ac:dyDescent="0.2">
      <c r="E551">
        <v>198.39999999999725</v>
      </c>
      <c r="F551">
        <v>3.1718227438415549E-2</v>
      </c>
    </row>
    <row r="552" spans="5:6" x14ac:dyDescent="0.2">
      <c r="E552">
        <v>198.49999999999724</v>
      </c>
      <c r="F552">
        <v>3.1471408482674462E-2</v>
      </c>
    </row>
    <row r="553" spans="5:6" x14ac:dyDescent="0.2">
      <c r="E553">
        <v>198.59999999999724</v>
      </c>
      <c r="F553">
        <v>3.1226302556380127E-2</v>
      </c>
    </row>
    <row r="554" spans="5:6" x14ac:dyDescent="0.2">
      <c r="E554">
        <v>198.69999999999723</v>
      </c>
      <c r="F554">
        <v>3.0982899852696373E-2</v>
      </c>
    </row>
    <row r="555" spans="5:6" x14ac:dyDescent="0.2">
      <c r="E555">
        <v>198.79999999999723</v>
      </c>
      <c r="F555">
        <v>3.0741190600345004E-2</v>
      </c>
    </row>
    <row r="556" spans="5:6" x14ac:dyDescent="0.2">
      <c r="E556">
        <v>198.89999999999722</v>
      </c>
      <c r="F556">
        <v>3.0501165063689266E-2</v>
      </c>
    </row>
    <row r="557" spans="5:6" x14ac:dyDescent="0.2">
      <c r="E557">
        <v>198.99999999999721</v>
      </c>
      <c r="F557">
        <v>3.0262813542814428E-2</v>
      </c>
    </row>
    <row r="558" spans="5:6" x14ac:dyDescent="0.2">
      <c r="E558">
        <v>199.09999999999721</v>
      </c>
      <c r="F558">
        <v>3.0026126373605799E-2</v>
      </c>
    </row>
    <row r="559" spans="5:6" x14ac:dyDescent="0.2">
      <c r="E559">
        <v>199.1999999999972</v>
      </c>
      <c r="F559">
        <v>2.9791093927823975E-2</v>
      </c>
    </row>
    <row r="560" spans="5:6" x14ac:dyDescent="0.2">
      <c r="E560">
        <v>199.2999999999972</v>
      </c>
      <c r="F560">
        <v>2.9557706613176638E-2</v>
      </c>
    </row>
    <row r="561" spans="5:6" x14ac:dyDescent="0.2">
      <c r="E561">
        <v>199.39999999999719</v>
      </c>
      <c r="F561">
        <v>2.9325954873388599E-2</v>
      </c>
    </row>
    <row r="562" spans="5:6" x14ac:dyDescent="0.2">
      <c r="E562">
        <v>199.49999999999719</v>
      </c>
      <c r="F562">
        <v>2.9095829188268207E-2</v>
      </c>
    </row>
    <row r="563" spans="5:6" x14ac:dyDescent="0.2">
      <c r="E563">
        <v>199.59999999999718</v>
      </c>
      <c r="F563">
        <v>2.8867320073771591E-2</v>
      </c>
    </row>
    <row r="564" spans="5:6" x14ac:dyDescent="0.2">
      <c r="E564">
        <v>199.69999999999717</v>
      </c>
      <c r="F564">
        <v>2.8640418082064235E-2</v>
      </c>
    </row>
    <row r="565" spans="5:6" x14ac:dyDescent="0.2">
      <c r="E565">
        <v>199.79999999999717</v>
      </c>
      <c r="F565">
        <v>2.8415113801579506E-2</v>
      </c>
    </row>
    <row r="566" spans="5:6" x14ac:dyDescent="0.2">
      <c r="E566">
        <v>199.89999999999716</v>
      </c>
      <c r="F566">
        <v>2.819139785707481E-2</v>
      </c>
    </row>
  </sheetData>
  <mergeCells count="12">
    <mergeCell ref="C12:D12"/>
    <mergeCell ref="E9:E10"/>
    <mergeCell ref="B3:D3"/>
    <mergeCell ref="A29:A37"/>
    <mergeCell ref="C40:K40"/>
    <mergeCell ref="A42:A50"/>
    <mergeCell ref="C27:K27"/>
    <mergeCell ref="C14:D14"/>
    <mergeCell ref="C13:D13"/>
    <mergeCell ref="H15:I15"/>
    <mergeCell ref="B2:D2"/>
    <mergeCell ref="C11:D11"/>
  </mergeCells>
  <conditionalFormatting sqref="C29:K3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:K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8969B-694F-664D-B76B-C704C0023A57}">
  <sheetPr codeName="Feuil1"/>
  <dimension ref="A1:S63"/>
  <sheetViews>
    <sheetView topLeftCell="A13" zoomScale="113" workbookViewId="0">
      <selection activeCell="E10" sqref="E10"/>
    </sheetView>
  </sheetViews>
  <sheetFormatPr baseColWidth="10" defaultRowHeight="16" x14ac:dyDescent="0.2"/>
  <cols>
    <col min="1" max="1" width="3.6640625" bestFit="1" customWidth="1"/>
    <col min="3" max="3" width="15.1640625" bestFit="1" customWidth="1"/>
    <col min="4" max="4" width="11" bestFit="1" customWidth="1"/>
    <col min="5" max="6" width="11.5" bestFit="1" customWidth="1"/>
    <col min="16" max="16" width="11.33203125" bestFit="1" customWidth="1"/>
  </cols>
  <sheetData>
    <row r="1" spans="2:19" ht="17" thickBot="1" x14ac:dyDescent="0.25"/>
    <row r="2" spans="2:19" ht="20" thickBot="1" x14ac:dyDescent="0.3">
      <c r="B2" s="73" t="s">
        <v>0</v>
      </c>
      <c r="C2" s="74"/>
      <c r="D2" s="75"/>
      <c r="Q2" s="53"/>
      <c r="R2" s="53"/>
    </row>
    <row r="4" spans="2:19" ht="17" thickBot="1" x14ac:dyDescent="0.25"/>
    <row r="5" spans="2:19" x14ac:dyDescent="0.2">
      <c r="B5" s="7" t="s">
        <v>2</v>
      </c>
      <c r="C5" s="1" t="s">
        <v>7</v>
      </c>
      <c r="D5" s="38">
        <v>125</v>
      </c>
      <c r="Q5" s="43"/>
      <c r="R5" s="43">
        <f>CallPrice</f>
        <v>18.798407176532201</v>
      </c>
      <c r="S5" s="43"/>
    </row>
    <row r="6" spans="2:19" x14ac:dyDescent="0.2">
      <c r="B6" s="8" t="s">
        <v>3</v>
      </c>
      <c r="C6" s="39" t="s">
        <v>8</v>
      </c>
      <c r="D6" s="4">
        <v>130</v>
      </c>
      <c r="E6">
        <v>50</v>
      </c>
      <c r="Q6" s="43" cm="1">
        <f t="array" ref="Q6:Q55">_xlfn.SEQUENCE(50,,K-20,1)</f>
        <v>110</v>
      </c>
      <c r="R6" s="43">
        <f t="dataTable" ref="R6:R55" dt2D="0" dtr="0" r1="D5" ca="1"/>
        <v>11.491030587502678</v>
      </c>
      <c r="S6" s="43">
        <f t="shared" ref="S6:S37" si="0">MAX(Q6-K,0)</f>
        <v>0</v>
      </c>
    </row>
    <row r="7" spans="2:19" x14ac:dyDescent="0.2">
      <c r="B7" s="8" t="s">
        <v>4</v>
      </c>
      <c r="C7" s="39" t="s">
        <v>9</v>
      </c>
      <c r="D7" s="3">
        <v>1</v>
      </c>
      <c r="Q7" s="43">
        <v>111</v>
      </c>
      <c r="R7" s="43">
        <v>11.920802638874406</v>
      </c>
      <c r="S7" s="43">
        <f t="shared" si="0"/>
        <v>0</v>
      </c>
    </row>
    <row r="8" spans="2:19" x14ac:dyDescent="0.2">
      <c r="B8" s="8" t="s">
        <v>5</v>
      </c>
      <c r="C8" s="40" t="s">
        <v>43</v>
      </c>
      <c r="D8" s="42">
        <v>0.42</v>
      </c>
      <c r="Q8" s="43">
        <v>112</v>
      </c>
      <c r="R8" s="43">
        <v>12.359014366990209</v>
      </c>
      <c r="S8" s="43">
        <f t="shared" si="0"/>
        <v>0</v>
      </c>
    </row>
    <row r="9" spans="2:19" ht="17" thickBot="1" x14ac:dyDescent="0.25">
      <c r="B9" s="9" t="s">
        <v>1</v>
      </c>
      <c r="C9" s="2" t="s">
        <v>6</v>
      </c>
      <c r="D9" s="41">
        <v>0</v>
      </c>
      <c r="Q9" s="43">
        <v>113</v>
      </c>
      <c r="R9" s="43">
        <v>12.805618253228303</v>
      </c>
      <c r="S9" s="43">
        <f t="shared" si="0"/>
        <v>0</v>
      </c>
    </row>
    <row r="10" spans="2:19" ht="17" thickBot="1" x14ac:dyDescent="0.25">
      <c r="B10" s="10"/>
      <c r="Q10" s="43">
        <v>114</v>
      </c>
      <c r="R10" s="43">
        <v>13.26056371135693</v>
      </c>
      <c r="S10" s="43">
        <f t="shared" si="0"/>
        <v>0</v>
      </c>
    </row>
    <row r="11" spans="2:19" x14ac:dyDescent="0.2">
      <c r="B11" s="7" t="s">
        <v>10</v>
      </c>
      <c r="C11" s="76">
        <f>(LN(S/K)+(IR+(Sigma^2)/2)*T)/(Sigma*SQRT(T))</f>
        <v>0.11661734963504458</v>
      </c>
      <c r="D11" s="77"/>
      <c r="Q11" s="43">
        <v>115</v>
      </c>
      <c r="R11" s="43">
        <v>13.723797237423888</v>
      </c>
      <c r="S11" s="43">
        <f t="shared" si="0"/>
        <v>0</v>
      </c>
    </row>
    <row r="12" spans="2:19" x14ac:dyDescent="0.2">
      <c r="B12" s="8" t="s">
        <v>11</v>
      </c>
      <c r="C12" s="78">
        <f>dOne-Sigma*SQRT(T)</f>
        <v>-0.30338265036495538</v>
      </c>
      <c r="D12" s="79"/>
      <c r="Q12" s="43">
        <v>116</v>
      </c>
      <c r="R12" s="43">
        <v>14.195262557461504</v>
      </c>
      <c r="S12" s="43">
        <f t="shared" si="0"/>
        <v>0</v>
      </c>
    </row>
    <row r="13" spans="2:19" x14ac:dyDescent="0.2">
      <c r="B13" s="8" t="s">
        <v>14</v>
      </c>
      <c r="C13" s="80">
        <f>NORMDIST(dOne,0,1,TRUE)</f>
        <v>0.54641835574198305</v>
      </c>
      <c r="D13" s="81"/>
      <c r="Q13" s="43">
        <v>117</v>
      </c>
      <c r="R13" s="43">
        <v>14.674900772805863</v>
      </c>
      <c r="S13" s="43">
        <f t="shared" si="0"/>
        <v>0</v>
      </c>
    </row>
    <row r="14" spans="2:19" ht="17" thickBot="1" x14ac:dyDescent="0.25">
      <c r="B14" s="9" t="s">
        <v>15</v>
      </c>
      <c r="C14" s="82">
        <f>NORMDIST(dTwo,0,1,TRUE)</f>
        <v>0.38079913300935142</v>
      </c>
      <c r="D14" s="83"/>
      <c r="F14" t="s">
        <v>73</v>
      </c>
      <c r="Q14" s="43">
        <v>118</v>
      </c>
      <c r="R14" s="43">
        <v>15.162650502850191</v>
      </c>
      <c r="S14" s="43">
        <f t="shared" si="0"/>
        <v>0</v>
      </c>
    </row>
    <row r="15" spans="2:19" x14ac:dyDescent="0.2">
      <c r="B15" s="10"/>
      <c r="F15">
        <v>21.942280133784976</v>
      </c>
      <c r="G15">
        <v>21.950607383514011</v>
      </c>
      <c r="Q15" s="43">
        <v>119</v>
      </c>
      <c r="R15" s="43">
        <v>15.658448025072623</v>
      </c>
      <c r="S15" s="43">
        <f t="shared" si="0"/>
        <v>0</v>
      </c>
    </row>
    <row r="16" spans="2:19" ht="17" thickBot="1" x14ac:dyDescent="0.25">
      <c r="B16" s="10"/>
      <c r="C16" t="s">
        <v>16</v>
      </c>
      <c r="G16">
        <f>(G15-F15)/0.01</f>
        <v>0.83272497290352021</v>
      </c>
      <c r="Q16" s="43">
        <v>120</v>
      </c>
      <c r="R16" s="43">
        <v>16.162227412197524</v>
      </c>
      <c r="S16" s="43">
        <f t="shared" si="0"/>
        <v>0</v>
      </c>
    </row>
    <row r="17" spans="1:19" x14ac:dyDescent="0.2">
      <c r="B17" s="11" t="s">
        <v>12</v>
      </c>
      <c r="C17" s="5">
        <f>ndOne*S-ndTwo*K*EXP(-IR*T)</f>
        <v>18.798407176532201</v>
      </c>
      <c r="E17" t="str">
        <f ca="1">_xlfn.FORMULATEXT(C17)</f>
        <v>=ndOne*S-ndTwo*K*EXP(-IR*T)</v>
      </c>
      <c r="Q17" s="43">
        <v>121</v>
      </c>
      <c r="R17" s="43">
        <v>16.673920666367543</v>
      </c>
      <c r="S17" s="43">
        <f t="shared" si="0"/>
        <v>0</v>
      </c>
    </row>
    <row r="18" spans="1:19" ht="17" thickBot="1" x14ac:dyDescent="0.25">
      <c r="B18" s="12" t="s">
        <v>13</v>
      </c>
      <c r="C18" s="6">
        <f>CallPrice-S+K*EXP(-IR*T)</f>
        <v>23.798407176532208</v>
      </c>
      <c r="E18" t="str">
        <f ca="1">_xlfn.FORMULATEXT(C18)</f>
        <v>=CallPrice-S+K*EXP(-IR*T)</v>
      </c>
      <c r="Q18" s="43">
        <v>122</v>
      </c>
      <c r="R18" s="43">
        <v>17.193457850220518</v>
      </c>
      <c r="S18" s="43">
        <f t="shared" si="0"/>
        <v>0</v>
      </c>
    </row>
    <row r="19" spans="1:19" ht="17" thickBot="1" x14ac:dyDescent="0.25">
      <c r="Q19" s="43">
        <v>123</v>
      </c>
      <c r="R19" s="43">
        <v>17.720767214781482</v>
      </c>
      <c r="S19" s="43">
        <f t="shared" si="0"/>
        <v>0</v>
      </c>
    </row>
    <row r="20" spans="1:19" x14ac:dyDescent="0.2">
      <c r="B20" s="44"/>
      <c r="C20" s="45" t="s">
        <v>51</v>
      </c>
      <c r="D20" s="45" t="s">
        <v>52</v>
      </c>
      <c r="E20" s="45" t="s">
        <v>53</v>
      </c>
      <c r="F20" s="45" t="s">
        <v>55</v>
      </c>
      <c r="G20" s="46" t="s">
        <v>54</v>
      </c>
      <c r="Q20" s="43">
        <v>124</v>
      </c>
      <c r="R20" s="43">
        <v>18.255775324094287</v>
      </c>
      <c r="S20" s="43">
        <f t="shared" si="0"/>
        <v>0</v>
      </c>
    </row>
    <row r="21" spans="1:19" x14ac:dyDescent="0.2">
      <c r="A21" s="43" t="s">
        <v>49</v>
      </c>
      <c r="B21" s="47" t="s">
        <v>47</v>
      </c>
      <c r="C21" s="49">
        <f>OptionDelta(A21,S,K,T,IR,Sigma,0)</f>
        <v>0.54641835574198305</v>
      </c>
      <c r="D21" s="49">
        <f>OptionGamma(S,K,T,IR,Sigma,0)</f>
        <v>7.5474048301201087E-3</v>
      </c>
      <c r="E21" s="49" cm="1">
        <f t="array" ref="E21">OptionTheta(A21,S,K,T,IR,Sigma,0)</f>
        <v>-2.8496622689066508E-2</v>
      </c>
      <c r="F21" s="49">
        <f>S*SQRT(T)*_xlfn.NORM.S.DIST(dOne,FALSE)</f>
        <v>49.529844197663216</v>
      </c>
      <c r="G21" s="50" cm="1">
        <f t="array" ref="G21">OptionRho(A21,S,K,T,IR,Sigma,0)</f>
        <v>0.49503887291215687</v>
      </c>
      <c r="Q21" s="43">
        <v>125</v>
      </c>
      <c r="R21" s="43">
        <v>18.798407176532201</v>
      </c>
      <c r="S21" s="43">
        <f t="shared" si="0"/>
        <v>0</v>
      </c>
    </row>
    <row r="22" spans="1:19" ht="17" thickBot="1" x14ac:dyDescent="0.25">
      <c r="A22" s="43" t="s">
        <v>50</v>
      </c>
      <c r="B22" s="48" t="s">
        <v>48</v>
      </c>
      <c r="C22" s="51">
        <f>OptionDelta(A22,S,K,T,IR,Sigma,0)</f>
        <v>-0.45358164425801695</v>
      </c>
      <c r="D22" s="51">
        <f>OptionGamma(S,K,T,IR,Sigma,0)</f>
        <v>7.5474048301201087E-3</v>
      </c>
      <c r="E22" s="51" cm="1">
        <f t="array" ref="E22">OptionTheta(A22,S,K,T,IR,Sigma,0)</f>
        <v>-2.8496622689066508E-2</v>
      </c>
      <c r="F22" s="51">
        <f>S*SQRT(T)*_xlfn.NORM.S.DIST(dOne,FALSE)</f>
        <v>49.529844197663216</v>
      </c>
      <c r="G22" s="52" cm="1">
        <f t="array" ref="G22">OptionRho(A22,S,K,T,IR,Sigma,0)</f>
        <v>-0.80496112708784318</v>
      </c>
      <c r="Q22" s="43">
        <v>126</v>
      </c>
      <c r="R22" s="43">
        <v>19.348586322738846</v>
      </c>
      <c r="S22" s="43">
        <f t="shared" si="0"/>
        <v>0</v>
      </c>
    </row>
    <row r="23" spans="1:19" x14ac:dyDescent="0.2">
      <c r="C23" s="53"/>
      <c r="Q23" s="43">
        <v>127</v>
      </c>
      <c r="R23" s="43">
        <v>19.906234980164008</v>
      </c>
      <c r="S23" s="43">
        <f t="shared" si="0"/>
        <v>0</v>
      </c>
    </row>
    <row r="24" spans="1:19" x14ac:dyDescent="0.2">
      <c r="D24" s="53">
        <f>_xlfn.NORM.S.DIST(dOne,FALSE)/(S*Sigma*SQRT(T))</f>
        <v>7.5474048301201087E-3</v>
      </c>
      <c r="E24" s="53">
        <f>(-S*_xlfn.NORM.S.DIST(dOne,FALSE)*Sigma)/(2*SQRT(T))</f>
        <v>-10.401267281509275</v>
      </c>
      <c r="F24" s="53"/>
      <c r="Q24" s="43">
        <v>128</v>
      </c>
      <c r="R24" s="43">
        <v>20.471274144168902</v>
      </c>
      <c r="S24" s="43">
        <f t="shared" si="0"/>
        <v>0</v>
      </c>
    </row>
    <row r="25" spans="1:19" x14ac:dyDescent="0.2">
      <c r="D25" s="53">
        <f>_xlfn.NORM.S.DIST(dOne,FALSE)/(S*Sigma*SQRT(T))</f>
        <v>7.5474048301201087E-3</v>
      </c>
      <c r="E25" s="53">
        <f>-IR*K*EXP(-IR*T)*_xlfn.NORM.S.DIST(dTwo,TRUE)</f>
        <v>0</v>
      </c>
      <c r="F25" s="53"/>
      <c r="Q25" s="43">
        <v>129</v>
      </c>
      <c r="R25" s="43">
        <v>21.043623695686918</v>
      </c>
      <c r="S25" s="43">
        <f t="shared" si="0"/>
        <v>0</v>
      </c>
    </row>
    <row r="26" spans="1:19" x14ac:dyDescent="0.2">
      <c r="Q26" s="43">
        <v>130</v>
      </c>
      <c r="R26" s="43">
        <v>21.62320250543501</v>
      </c>
      <c r="S26" s="43">
        <f t="shared" si="0"/>
        <v>0</v>
      </c>
    </row>
    <row r="27" spans="1:19" ht="17" thickBot="1" x14ac:dyDescent="0.25">
      <c r="C27" s="72" t="s">
        <v>44</v>
      </c>
      <c r="D27" s="72"/>
      <c r="E27" s="72"/>
      <c r="F27" s="72"/>
      <c r="G27" s="72"/>
      <c r="H27" s="72"/>
      <c r="I27" s="72"/>
      <c r="J27" s="72"/>
      <c r="K27" s="72"/>
      <c r="Q27" s="43">
        <v>131</v>
      </c>
      <c r="R27" s="43">
        <v>22.209928534679534</v>
      </c>
      <c r="S27" s="43">
        <f t="shared" si="0"/>
        <v>1</v>
      </c>
    </row>
    <row r="28" spans="1:19" x14ac:dyDescent="0.2">
      <c r="B28" s="28">
        <f>CallPrice</f>
        <v>18.798407176532201</v>
      </c>
      <c r="C28" s="29" cm="1">
        <f t="array" ref="C28:K28">TRANSPOSE(_xlfn.SEQUENCE(9,,E6,5))</f>
        <v>50</v>
      </c>
      <c r="D28" s="29">
        <v>55</v>
      </c>
      <c r="E28" s="29">
        <v>60</v>
      </c>
      <c r="F28" s="29">
        <v>65</v>
      </c>
      <c r="G28" s="29">
        <v>70</v>
      </c>
      <c r="H28" s="29">
        <v>75</v>
      </c>
      <c r="I28" s="29">
        <v>80</v>
      </c>
      <c r="J28" s="29">
        <v>85</v>
      </c>
      <c r="K28" s="30">
        <v>90</v>
      </c>
      <c r="Q28" s="43">
        <v>132</v>
      </c>
      <c r="R28" s="43">
        <v>22.803718932568962</v>
      </c>
      <c r="S28" s="43">
        <f t="shared" si="0"/>
        <v>2</v>
      </c>
    </row>
    <row r="29" spans="1:19" x14ac:dyDescent="0.2">
      <c r="A29" s="71" t="s">
        <v>45</v>
      </c>
      <c r="B29" s="31" cm="1">
        <f t="array" ref="B29:B37">_xlfn.SEQUENCE(9,,0.001,5%)</f>
        <v>1E-3</v>
      </c>
      <c r="C29" s="26">
        <f t="dataTable" ref="C29:K37" dt2D="1" dtr="1" r1="D6" r2="D8"/>
        <v>75</v>
      </c>
      <c r="D29" s="26">
        <v>70</v>
      </c>
      <c r="E29" s="26">
        <v>65</v>
      </c>
      <c r="F29" s="33">
        <v>60</v>
      </c>
      <c r="G29" s="33">
        <v>55</v>
      </c>
      <c r="H29" s="33">
        <v>50</v>
      </c>
      <c r="I29" s="33">
        <v>45</v>
      </c>
      <c r="J29" s="33">
        <v>40</v>
      </c>
      <c r="K29" s="34">
        <v>35</v>
      </c>
      <c r="Q29" s="43">
        <v>133</v>
      </c>
      <c r="R29" s="43">
        <v>23.404490130052956</v>
      </c>
      <c r="S29" s="43">
        <f t="shared" si="0"/>
        <v>3</v>
      </c>
    </row>
    <row r="30" spans="1:19" x14ac:dyDescent="0.2">
      <c r="A30" s="71"/>
      <c r="B30" s="31">
        <v>5.1000000000000004E-2</v>
      </c>
      <c r="C30" s="26">
        <v>75</v>
      </c>
      <c r="D30" s="26">
        <v>70</v>
      </c>
      <c r="E30" s="26">
        <v>65</v>
      </c>
      <c r="F30" s="33">
        <v>60</v>
      </c>
      <c r="G30" s="33">
        <v>55</v>
      </c>
      <c r="H30" s="33">
        <v>50</v>
      </c>
      <c r="I30" s="33">
        <v>45</v>
      </c>
      <c r="J30" s="33">
        <v>40</v>
      </c>
      <c r="K30" s="34">
        <v>35.000000000047578</v>
      </c>
      <c r="Q30" s="43">
        <v>134</v>
      </c>
      <c r="R30" s="43">
        <v>24.012157930414318</v>
      </c>
      <c r="S30" s="43">
        <f t="shared" si="0"/>
        <v>4</v>
      </c>
    </row>
    <row r="31" spans="1:19" x14ac:dyDescent="0.2">
      <c r="A31" s="71"/>
      <c r="B31" s="31">
        <v>0.10100000000000001</v>
      </c>
      <c r="C31" s="26">
        <v>75</v>
      </c>
      <c r="D31" s="26">
        <v>70</v>
      </c>
      <c r="E31" s="26">
        <v>65.000000000000213</v>
      </c>
      <c r="F31" s="33">
        <v>60.000000000063935</v>
      </c>
      <c r="G31" s="33">
        <v>55.000000007334208</v>
      </c>
      <c r="H31" s="33">
        <v>50.000000382682089</v>
      </c>
      <c r="I31" s="33">
        <v>45.000010394660862</v>
      </c>
      <c r="J31" s="33">
        <v>40.000163664732128</v>
      </c>
      <c r="K31" s="34">
        <v>35.001629406732931</v>
      </c>
      <c r="Q31" s="43">
        <v>135</v>
      </c>
      <c r="R31" s="43">
        <v>24.626637596446223</v>
      </c>
      <c r="S31" s="43">
        <f t="shared" si="0"/>
        <v>5</v>
      </c>
    </row>
    <row r="32" spans="1:19" x14ac:dyDescent="0.2">
      <c r="A32" s="71"/>
      <c r="B32" s="31">
        <v>0.15100000000000002</v>
      </c>
      <c r="C32" s="26">
        <v>75.000000001208207</v>
      </c>
      <c r="D32" s="33">
        <v>70.000000058601188</v>
      </c>
      <c r="E32" s="33">
        <v>65.000001458008995</v>
      </c>
      <c r="F32" s="33">
        <v>60.000021303287141</v>
      </c>
      <c r="G32" s="33">
        <v>55.000202328133426</v>
      </c>
      <c r="H32" s="33">
        <v>50.001350249924187</v>
      </c>
      <c r="I32" s="26">
        <v>45.006729288529741</v>
      </c>
      <c r="J32" s="33">
        <v>40.026287648308298</v>
      </c>
      <c r="K32" s="34">
        <v>35.083701764716139</v>
      </c>
      <c r="Q32" s="43">
        <v>136</v>
      </c>
      <c r="R32" s="43">
        <v>25.247843934312989</v>
      </c>
      <c r="S32" s="43">
        <f t="shared" si="0"/>
        <v>6</v>
      </c>
    </row>
    <row r="33" spans="1:19" x14ac:dyDescent="0.2">
      <c r="A33" s="71"/>
      <c r="B33" s="31">
        <v>0.20100000000000001</v>
      </c>
      <c r="C33" s="33">
        <v>75.00000822650604</v>
      </c>
      <c r="D33" s="33">
        <v>70.000081245855114</v>
      </c>
      <c r="E33" s="33">
        <v>65.000548771020249</v>
      </c>
      <c r="F33" s="33">
        <v>60.002737860800877</v>
      </c>
      <c r="G33" s="33">
        <v>55.010689168872048</v>
      </c>
      <c r="H33" s="33">
        <v>50.034136705520496</v>
      </c>
      <c r="I33" s="26">
        <v>45.092314080518776</v>
      </c>
      <c r="J33" s="33">
        <v>40.217274455220789</v>
      </c>
      <c r="K33" s="34">
        <v>35.45503407504863</v>
      </c>
      <c r="Q33" s="43">
        <v>137</v>
      </c>
      <c r="R33" s="43">
        <v>25.875691374137723</v>
      </c>
      <c r="S33" s="43">
        <f t="shared" si="0"/>
        <v>7</v>
      </c>
    </row>
    <row r="34" spans="1:19" x14ac:dyDescent="0.2">
      <c r="A34" s="71"/>
      <c r="B34" s="31">
        <v>0.251</v>
      </c>
      <c r="C34" s="33">
        <v>75.000626632916124</v>
      </c>
      <c r="D34" s="33">
        <v>70.002937405753045</v>
      </c>
      <c r="E34" s="33">
        <v>65.010757564605342</v>
      </c>
      <c r="F34" s="33">
        <v>60.032352303003535</v>
      </c>
      <c r="G34" s="33">
        <v>55.082941917744307</v>
      </c>
      <c r="H34" s="33">
        <v>50.186536855342354</v>
      </c>
      <c r="I34" s="33">
        <v>45.376348251071434</v>
      </c>
      <c r="J34" s="33">
        <v>40.693347690745654</v>
      </c>
      <c r="K34" s="34">
        <v>36.183145382457823</v>
      </c>
      <c r="Q34" s="43">
        <v>138</v>
      </c>
      <c r="R34" s="43">
        <v>26.510094047364127</v>
      </c>
      <c r="S34" s="43">
        <f t="shared" si="0"/>
        <v>8</v>
      </c>
    </row>
    <row r="35" spans="1:19" x14ac:dyDescent="0.2">
      <c r="A35" s="71"/>
      <c r="B35" s="31">
        <v>0.30099999999999999</v>
      </c>
      <c r="C35" s="26">
        <v>75.007697770567063</v>
      </c>
      <c r="D35" s="26">
        <v>70.023942152273492</v>
      </c>
      <c r="E35" s="26">
        <v>65.062531294244536</v>
      </c>
      <c r="F35" s="33">
        <v>60.142034408133703</v>
      </c>
      <c r="G35" s="33">
        <v>55.288054681056835</v>
      </c>
      <c r="H35" s="33">
        <v>50.53222550781129</v>
      </c>
      <c r="I35" s="33">
        <v>45.910095313952723</v>
      </c>
      <c r="J35" s="33">
        <v>41.458352695080777</v>
      </c>
      <c r="K35" s="34">
        <v>37.211933588796384</v>
      </c>
      <c r="Q35" s="43">
        <v>139</v>
      </c>
      <c r="R35" s="43">
        <v>27.150965860944559</v>
      </c>
      <c r="S35" s="43">
        <f t="shared" si="0"/>
        <v>9</v>
      </c>
    </row>
    <row r="36" spans="1:19" x14ac:dyDescent="0.2">
      <c r="A36" s="71"/>
      <c r="B36" s="31">
        <v>0.35099999999999998</v>
      </c>
      <c r="C36" s="26">
        <v>75.038776794366669</v>
      </c>
      <c r="D36" s="26">
        <v>70.093817311674144</v>
      </c>
      <c r="E36" s="26">
        <v>65.199063881405223</v>
      </c>
      <c r="F36" s="33">
        <v>60.380238451943441</v>
      </c>
      <c r="G36" s="33">
        <v>55.666800910745735</v>
      </c>
      <c r="H36" s="33">
        <v>51.089797683781043</v>
      </c>
      <c r="I36" s="33">
        <v>46.679593258097597</v>
      </c>
      <c r="J36" s="33">
        <v>42.463842961314214</v>
      </c>
      <c r="K36" s="34">
        <v>38.465935277621213</v>
      </c>
      <c r="Q36" s="43">
        <v>140</v>
      </c>
      <c r="R36" s="43">
        <v>27.798220568409519</v>
      </c>
      <c r="S36" s="43">
        <f t="shared" si="0"/>
        <v>10</v>
      </c>
    </row>
    <row r="37" spans="1:19" ht="17" thickBot="1" x14ac:dyDescent="0.25">
      <c r="A37" s="71"/>
      <c r="B37" s="32">
        <v>0.40099999999999997</v>
      </c>
      <c r="C37" s="27">
        <v>75.11930783569268</v>
      </c>
      <c r="D37" s="27">
        <v>70.244534510326105</v>
      </c>
      <c r="E37" s="27">
        <v>65.452107776513174</v>
      </c>
      <c r="F37" s="35">
        <v>60.76951928460818</v>
      </c>
      <c r="G37" s="35">
        <v>56.22437679984111</v>
      </c>
      <c r="H37" s="35">
        <v>51.84256789246497</v>
      </c>
      <c r="I37" s="35">
        <v>47.646815241916372</v>
      </c>
      <c r="J37" s="35">
        <v>43.655709122529444</v>
      </c>
      <c r="K37" s="36">
        <v>39.883207845820877</v>
      </c>
      <c r="Q37" s="43">
        <v>141</v>
      </c>
      <c r="R37" s="43">
        <v>28.451771837876763</v>
      </c>
      <c r="S37" s="43">
        <f t="shared" si="0"/>
        <v>11</v>
      </c>
    </row>
    <row r="38" spans="1:19" x14ac:dyDescent="0.2">
      <c r="Q38" s="43">
        <v>142</v>
      </c>
      <c r="R38" s="43">
        <v>29.111533317061458</v>
      </c>
      <c r="S38" s="43">
        <f t="shared" ref="S38:S55" si="1">MAX(Q38-K,0)</f>
        <v>12</v>
      </c>
    </row>
    <row r="39" spans="1:19" x14ac:dyDescent="0.2">
      <c r="Q39" s="43">
        <v>143</v>
      </c>
      <c r="R39" s="43">
        <v>29.777418695350576</v>
      </c>
      <c r="S39" s="43">
        <f t="shared" si="1"/>
        <v>13</v>
      </c>
    </row>
    <row r="40" spans="1:19" ht="17" thickBot="1" x14ac:dyDescent="0.25">
      <c r="C40" s="72" t="s">
        <v>46</v>
      </c>
      <c r="D40" s="72"/>
      <c r="E40" s="72"/>
      <c r="F40" s="72"/>
      <c r="G40" s="72"/>
      <c r="H40" s="72"/>
      <c r="I40" s="72"/>
      <c r="J40" s="72"/>
      <c r="K40" s="72"/>
      <c r="Q40" s="43">
        <v>144</v>
      </c>
      <c r="R40" s="43">
        <v>30.449341763007268</v>
      </c>
      <c r="S40" s="43">
        <f t="shared" si="1"/>
        <v>14</v>
      </c>
    </row>
    <row r="41" spans="1:19" x14ac:dyDescent="0.2">
      <c r="B41" s="28">
        <f>CallPrice</f>
        <v>18.798407176532201</v>
      </c>
      <c r="C41" s="29" cm="1">
        <f t="array" ref="C41:K41">TRANSPOSE(_xlfn.SEQUENCE(9,,C28,5))</f>
        <v>50</v>
      </c>
      <c r="D41" s="29">
        <v>55</v>
      </c>
      <c r="E41" s="29">
        <v>60</v>
      </c>
      <c r="F41" s="29">
        <v>65</v>
      </c>
      <c r="G41" s="29">
        <v>70</v>
      </c>
      <c r="H41" s="29">
        <v>75</v>
      </c>
      <c r="I41" s="29">
        <v>80</v>
      </c>
      <c r="J41" s="29">
        <v>85</v>
      </c>
      <c r="K41" s="30">
        <v>90</v>
      </c>
      <c r="Q41" s="43">
        <v>145</v>
      </c>
      <c r="R41" s="43">
        <v>31.127216467571898</v>
      </c>
      <c r="S41" s="43">
        <f t="shared" si="1"/>
        <v>15</v>
      </c>
    </row>
    <row r="42" spans="1:19" x14ac:dyDescent="0.2">
      <c r="A42" s="71" t="s">
        <v>45</v>
      </c>
      <c r="B42" s="31" cm="1">
        <f t="array" ref="B42:B50">_xlfn.SEQUENCE(9,,B29,5%)</f>
        <v>1E-3</v>
      </c>
      <c r="C42" s="26">
        <f t="dataTable" ref="C42:K50" dt2D="1" dtr="1" r1="D5" r2="D8" ca="1"/>
        <v>0</v>
      </c>
      <c r="D42" s="26">
        <v>0</v>
      </c>
      <c r="E42" s="26">
        <v>0</v>
      </c>
      <c r="F42" s="33">
        <v>0</v>
      </c>
      <c r="G42" s="33">
        <v>0</v>
      </c>
      <c r="H42" s="33">
        <v>0</v>
      </c>
      <c r="I42" s="33">
        <v>0</v>
      </c>
      <c r="J42" s="33">
        <v>0</v>
      </c>
      <c r="K42" s="34">
        <v>0</v>
      </c>
      <c r="Q42" s="43">
        <v>146</v>
      </c>
      <c r="R42" s="43">
        <v>31.810956967528895</v>
      </c>
      <c r="S42" s="43">
        <f t="shared" si="1"/>
        <v>16</v>
      </c>
    </row>
    <row r="43" spans="1:19" x14ac:dyDescent="0.2">
      <c r="A43" s="71"/>
      <c r="B43" s="31">
        <v>5.1000000000000004E-2</v>
      </c>
      <c r="C43" s="26">
        <v>2.7722997423663711E-79</v>
      </c>
      <c r="D43" s="26">
        <v>1.00395580085985E-64</v>
      </c>
      <c r="E43" s="26">
        <v>9.4954917421910492E-53</v>
      </c>
      <c r="F43" s="33">
        <v>7.7126767119236146E-43</v>
      </c>
      <c r="G43" s="33">
        <v>1.3130130403035054E-34</v>
      </c>
      <c r="H43" s="33">
        <v>9.2793060211162126E-28</v>
      </c>
      <c r="I43" s="33">
        <v>4.6408231973462041E-22</v>
      </c>
      <c r="J43" s="33">
        <v>2.5080648241436448E-17</v>
      </c>
      <c r="K43" s="34">
        <v>2.0599836640970309E-13</v>
      </c>
      <c r="Q43" s="43">
        <v>147</v>
      </c>
      <c r="R43" s="43">
        <v>32.500477683308077</v>
      </c>
      <c r="S43" s="43">
        <f t="shared" si="1"/>
        <v>17</v>
      </c>
    </row>
    <row r="44" spans="1:19" x14ac:dyDescent="0.2">
      <c r="A44" s="71"/>
      <c r="B44" s="31">
        <v>0.10100000000000001</v>
      </c>
      <c r="C44" s="26">
        <v>1.2892708896267497E-21</v>
      </c>
      <c r="D44" s="26">
        <v>7.9981960617452092E-18</v>
      </c>
      <c r="E44" s="26">
        <v>1.0864603440931646E-14</v>
      </c>
      <c r="F44" s="33">
        <v>4.3846448165969991E-12</v>
      </c>
      <c r="G44" s="33">
        <v>6.6098686987958703E-10</v>
      </c>
      <c r="H44" s="33">
        <v>4.4367108086469422E-8</v>
      </c>
      <c r="I44" s="33">
        <v>1.521156278785839E-6</v>
      </c>
      <c r="J44" s="33">
        <v>2.9713954965569301E-5</v>
      </c>
      <c r="K44" s="34">
        <v>3.6118965372285497E-4</v>
      </c>
      <c r="Q44" s="43">
        <v>148</v>
      </c>
      <c r="R44" s="43">
        <v>33.195693345691822</v>
      </c>
      <c r="S44" s="43">
        <f t="shared" si="1"/>
        <v>18</v>
      </c>
    </row>
    <row r="45" spans="1:19" x14ac:dyDescent="0.2">
      <c r="A45" s="71"/>
      <c r="B45" s="31">
        <v>0.15100000000000002</v>
      </c>
      <c r="C45" s="26">
        <v>2.2777807222103257E-10</v>
      </c>
      <c r="D45" s="33">
        <v>1.2917253902920737E-8</v>
      </c>
      <c r="E45" s="33">
        <v>3.7019430053948073E-7</v>
      </c>
      <c r="F45" s="33">
        <v>6.1516854422924731E-6</v>
      </c>
      <c r="G45" s="33">
        <v>6.5717747167072862E-5</v>
      </c>
      <c r="H45" s="33">
        <v>4.8852308962000872E-4</v>
      </c>
      <c r="I45" s="26">
        <v>2.6883910632095609E-3</v>
      </c>
      <c r="J45" s="33">
        <v>1.1504929769109828E-2</v>
      </c>
      <c r="K45" s="34">
        <v>3.9839056791566407E-2</v>
      </c>
      <c r="Q45" s="43">
        <v>149</v>
      </c>
      <c r="R45" s="43">
        <v>33.896519041698085</v>
      </c>
      <c r="S45" s="43">
        <f t="shared" si="1"/>
        <v>19</v>
      </c>
    </row>
    <row r="46" spans="1:19" x14ac:dyDescent="0.2">
      <c r="A46" s="71"/>
      <c r="B46" s="31">
        <v>0.20100000000000001</v>
      </c>
      <c r="C46" s="33">
        <v>3.1378372004717026E-6</v>
      </c>
      <c r="D46" s="33">
        <v>3.3767132164092147E-5</v>
      </c>
      <c r="E46" s="33">
        <v>2.4642160560698918E-4</v>
      </c>
      <c r="F46" s="33">
        <v>1.3187184691106288E-3</v>
      </c>
      <c r="G46" s="33">
        <v>5.4879913272388864E-3</v>
      </c>
      <c r="H46" s="33">
        <v>1.8579015448545511E-2</v>
      </c>
      <c r="I46" s="26">
        <v>5.299859479620217E-2</v>
      </c>
      <c r="J46" s="33">
        <v>0.13100117084563667</v>
      </c>
      <c r="K46" s="34">
        <v>0.28696482498180842</v>
      </c>
      <c r="Q46" s="43">
        <v>150</v>
      </c>
      <c r="R46" s="43">
        <v>34.602870258011308</v>
      </c>
      <c r="S46" s="43">
        <f t="shared" si="1"/>
        <v>20</v>
      </c>
    </row>
    <row r="47" spans="1:19" x14ac:dyDescent="0.2">
      <c r="A47" s="71"/>
      <c r="B47" s="31">
        <v>0.251</v>
      </c>
      <c r="C47" s="33">
        <v>3.3229114137880815E-4</v>
      </c>
      <c r="D47" s="33">
        <v>1.6432809938076651E-3</v>
      </c>
      <c r="E47" s="33">
        <v>6.3146229510286644E-3</v>
      </c>
      <c r="F47" s="33">
        <v>1.9834377836030759E-2</v>
      </c>
      <c r="G47" s="33">
        <v>5.2897343393241592E-2</v>
      </c>
      <c r="H47" s="33">
        <v>0.12332542252704282</v>
      </c>
      <c r="I47" s="33">
        <v>0.257135014031034</v>
      </c>
      <c r="J47" s="33">
        <v>0.48820584837219538</v>
      </c>
      <c r="K47" s="34">
        <v>0.85641848720309888</v>
      </c>
      <c r="Q47" s="43">
        <v>151</v>
      </c>
      <c r="R47" s="43">
        <v>35.314662922032213</v>
      </c>
      <c r="S47" s="43">
        <f t="shared" si="1"/>
        <v>21</v>
      </c>
    </row>
    <row r="48" spans="1:19" x14ac:dyDescent="0.2">
      <c r="A48" s="71"/>
      <c r="B48" s="31">
        <v>0.30099999999999999</v>
      </c>
      <c r="C48" s="26">
        <v>4.8920619345367289E-3</v>
      </c>
      <c r="D48" s="26">
        <v>1.5776676326638123E-2</v>
      </c>
      <c r="E48" s="26">
        <v>4.2564862704005058E-2</v>
      </c>
      <c r="F48" s="33">
        <v>9.9556853678195223E-2</v>
      </c>
      <c r="G48" s="33">
        <v>0.2073433487192502</v>
      </c>
      <c r="H48" s="33">
        <v>0.39247714826085867</v>
      </c>
      <c r="I48" s="33">
        <v>0.6861169511336227</v>
      </c>
      <c r="J48" s="33">
        <v>1.1219067399433849</v>
      </c>
      <c r="K48" s="34">
        <v>1.7335009715597636</v>
      </c>
      <c r="Q48" s="43">
        <v>152</v>
      </c>
      <c r="R48" s="43">
        <v>36.031813440618009</v>
      </c>
      <c r="S48" s="43">
        <f t="shared" si="1"/>
        <v>22</v>
      </c>
    </row>
    <row r="49" spans="1:19" x14ac:dyDescent="0.2">
      <c r="A49" s="71"/>
      <c r="B49" s="31">
        <v>0.35099999999999998</v>
      </c>
      <c r="C49" s="26">
        <v>2.7525707857760706E-2</v>
      </c>
      <c r="D49" s="26">
        <v>6.8346770849942562E-2</v>
      </c>
      <c r="E49" s="26">
        <v>0.14842875071574113</v>
      </c>
      <c r="F49" s="33">
        <v>0.28951823215463524</v>
      </c>
      <c r="G49" s="33">
        <v>0.51743491794813812</v>
      </c>
      <c r="H49" s="33">
        <v>0.86040530576083007</v>
      </c>
      <c r="I49" s="33">
        <v>1.3471260055780991</v>
      </c>
      <c r="J49" s="33">
        <v>2.0048799991731912</v>
      </c>
      <c r="K49" s="34">
        <v>2.8579468261651897</v>
      </c>
      <c r="Q49" s="43">
        <v>153</v>
      </c>
      <c r="R49" s="43">
        <v>36.754238736584256</v>
      </c>
      <c r="S49" s="43">
        <f t="shared" si="1"/>
        <v>23</v>
      </c>
    </row>
    <row r="50" spans="1:19" ht="17" thickBot="1" x14ac:dyDescent="0.25">
      <c r="A50" s="71"/>
      <c r="B50" s="32">
        <v>0.40099999999999997</v>
      </c>
      <c r="C50" s="27">
        <v>9.109375703937872E-2</v>
      </c>
      <c r="D50" s="27">
        <v>0.190365003815953</v>
      </c>
      <c r="E50" s="27">
        <v>0.35811993406116516</v>
      </c>
      <c r="F50" s="35">
        <v>0.61915144229486208</v>
      </c>
      <c r="G50" s="35">
        <v>0.9991783745801639</v>
      </c>
      <c r="H50" s="35">
        <v>1.5231684193712933</v>
      </c>
      <c r="I50" s="35">
        <v>2.2139119166671293</v>
      </c>
      <c r="J50" s="35">
        <v>3.0909634008843376</v>
      </c>
      <c r="K50" s="36">
        <v>4.16998106680105</v>
      </c>
      <c r="Q50" s="43">
        <v>154</v>
      </c>
      <c r="R50" s="43">
        <v>37.481856283039292</v>
      </c>
      <c r="S50" s="43">
        <f t="shared" si="1"/>
        <v>24</v>
      </c>
    </row>
    <row r="51" spans="1:19" x14ac:dyDescent="0.2">
      <c r="Q51" s="43">
        <v>155</v>
      </c>
      <c r="R51" s="43">
        <v>38.214584135621109</v>
      </c>
      <c r="S51" s="43">
        <f t="shared" si="1"/>
        <v>25</v>
      </c>
    </row>
    <row r="52" spans="1:19" x14ac:dyDescent="0.2">
      <c r="Q52" s="43">
        <v>156</v>
      </c>
      <c r="R52" s="43">
        <v>38.952340962707041</v>
      </c>
      <c r="S52" s="43">
        <f t="shared" si="1"/>
        <v>26</v>
      </c>
    </row>
    <row r="53" spans="1:19" x14ac:dyDescent="0.2">
      <c r="C53" s="37">
        <f t="shared" ref="C53:K53" si="2">C42-CallPrice</f>
        <v>-18.798407176532201</v>
      </c>
      <c r="D53" s="37">
        <f t="shared" si="2"/>
        <v>-18.798407176532201</v>
      </c>
      <c r="E53" s="37">
        <f t="shared" si="2"/>
        <v>-18.798407176532201</v>
      </c>
      <c r="F53" s="37">
        <f t="shared" si="2"/>
        <v>-18.798407176532201</v>
      </c>
      <c r="G53" s="37">
        <f t="shared" si="2"/>
        <v>-18.798407176532201</v>
      </c>
      <c r="H53" s="37">
        <f t="shared" si="2"/>
        <v>-18.798407176532201</v>
      </c>
      <c r="I53" s="37">
        <f t="shared" si="2"/>
        <v>-18.798407176532201</v>
      </c>
      <c r="J53" s="37">
        <f t="shared" si="2"/>
        <v>-18.798407176532201</v>
      </c>
      <c r="K53" s="37">
        <f t="shared" si="2"/>
        <v>-18.798407176532201</v>
      </c>
      <c r="Q53" s="43">
        <v>157</v>
      </c>
      <c r="R53" s="43">
        <v>39.6950460736644</v>
      </c>
      <c r="S53" s="43">
        <f t="shared" si="1"/>
        <v>27</v>
      </c>
    </row>
    <row r="54" spans="1:19" x14ac:dyDescent="0.2">
      <c r="C54" s="37">
        <f t="shared" ref="C54:K54" si="3">C43-CallPrice</f>
        <v>-18.798407176532201</v>
      </c>
      <c r="D54" s="37">
        <f t="shared" si="3"/>
        <v>-18.798407176532201</v>
      </c>
      <c r="E54" s="37">
        <f t="shared" si="3"/>
        <v>-18.798407176532201</v>
      </c>
      <c r="F54" s="37">
        <f t="shared" si="3"/>
        <v>-18.798407176532201</v>
      </c>
      <c r="G54" s="37">
        <f t="shared" si="3"/>
        <v>-18.798407176532201</v>
      </c>
      <c r="H54" s="37">
        <f t="shared" si="3"/>
        <v>-18.798407176532201</v>
      </c>
      <c r="I54" s="37">
        <f t="shared" si="3"/>
        <v>-18.798407176532201</v>
      </c>
      <c r="J54" s="37">
        <f t="shared" si="3"/>
        <v>-18.798407176532201</v>
      </c>
      <c r="K54" s="37">
        <f t="shared" si="3"/>
        <v>-18.798407176531995</v>
      </c>
      <c r="Q54" s="43">
        <v>158</v>
      </c>
      <c r="R54" s="43">
        <v>40.442619445210838</v>
      </c>
      <c r="S54" s="43">
        <f t="shared" si="1"/>
        <v>28</v>
      </c>
    </row>
    <row r="55" spans="1:19" x14ac:dyDescent="0.2">
      <c r="C55" s="37">
        <f t="shared" ref="C55:K55" si="4">C44-CallPrice</f>
        <v>-18.798407176532201</v>
      </c>
      <c r="D55" s="37">
        <f t="shared" si="4"/>
        <v>-18.798407176532201</v>
      </c>
      <c r="E55" s="37">
        <f t="shared" si="4"/>
        <v>-18.798407176532191</v>
      </c>
      <c r="F55" s="37">
        <f t="shared" si="4"/>
        <v>-18.798407176527817</v>
      </c>
      <c r="G55" s="37">
        <f t="shared" si="4"/>
        <v>-18.798407175871215</v>
      </c>
      <c r="H55" s="37">
        <f t="shared" si="4"/>
        <v>-18.798407132165092</v>
      </c>
      <c r="I55" s="37">
        <f t="shared" si="4"/>
        <v>-18.798405655375923</v>
      </c>
      <c r="J55" s="37">
        <f t="shared" si="4"/>
        <v>-18.798377462577236</v>
      </c>
      <c r="K55" s="37">
        <f t="shared" si="4"/>
        <v>-18.798045986878478</v>
      </c>
      <c r="Q55" s="43">
        <v>159</v>
      </c>
      <c r="R55" s="43">
        <v>41.194981745951097</v>
      </c>
      <c r="S55" s="43">
        <f t="shared" si="1"/>
        <v>29</v>
      </c>
    </row>
    <row r="56" spans="1:19" x14ac:dyDescent="0.2">
      <c r="C56" s="37">
        <f t="shared" ref="C56:K56" si="5">C45-CallPrice</f>
        <v>-18.798407176304423</v>
      </c>
      <c r="D56" s="37">
        <f t="shared" si="5"/>
        <v>-18.798407163614947</v>
      </c>
      <c r="E56" s="37">
        <f t="shared" si="5"/>
        <v>-18.798406806337901</v>
      </c>
      <c r="F56" s="37">
        <f t="shared" si="5"/>
        <v>-18.798401024846758</v>
      </c>
      <c r="G56" s="37">
        <f t="shared" si="5"/>
        <v>-18.798341458785035</v>
      </c>
      <c r="H56" s="37">
        <f t="shared" si="5"/>
        <v>-18.797918653442583</v>
      </c>
      <c r="I56" s="37">
        <f t="shared" si="5"/>
        <v>-18.795718785468992</v>
      </c>
      <c r="J56" s="37">
        <f t="shared" si="5"/>
        <v>-18.786902246763091</v>
      </c>
      <c r="K56" s="37">
        <f t="shared" si="5"/>
        <v>-18.758568119740634</v>
      </c>
    </row>
    <row r="57" spans="1:19" x14ac:dyDescent="0.2">
      <c r="C57" s="37">
        <f t="shared" ref="C57:K57" si="6">C46-CallPrice</f>
        <v>-18.798404038695001</v>
      </c>
      <c r="D57" s="37">
        <f t="shared" si="6"/>
        <v>-18.798373409400039</v>
      </c>
      <c r="E57" s="37">
        <f t="shared" si="6"/>
        <v>-18.798160754926595</v>
      </c>
      <c r="F57" s="37">
        <f t="shared" si="6"/>
        <v>-18.79708845806309</v>
      </c>
      <c r="G57" s="37">
        <f t="shared" si="6"/>
        <v>-18.792919185204962</v>
      </c>
      <c r="H57" s="37">
        <f t="shared" si="6"/>
        <v>-18.779828161083657</v>
      </c>
      <c r="I57" s="37">
        <f t="shared" si="6"/>
        <v>-18.745408581736001</v>
      </c>
      <c r="J57" s="37">
        <f t="shared" si="6"/>
        <v>-18.667406005686566</v>
      </c>
      <c r="K57" s="37">
        <f t="shared" si="6"/>
        <v>-18.511442351550393</v>
      </c>
    </row>
    <row r="58" spans="1:19" x14ac:dyDescent="0.2">
      <c r="C58" s="37">
        <f t="shared" ref="C58:K58" si="7">C47-CallPrice</f>
        <v>-18.798074885390822</v>
      </c>
      <c r="D58" s="37">
        <f t="shared" si="7"/>
        <v>-18.796763895538394</v>
      </c>
      <c r="E58" s="37">
        <f t="shared" si="7"/>
        <v>-18.792092553581174</v>
      </c>
      <c r="F58" s="37">
        <f t="shared" si="7"/>
        <v>-18.778572798696171</v>
      </c>
      <c r="G58" s="37">
        <f t="shared" si="7"/>
        <v>-18.745509833138961</v>
      </c>
      <c r="H58" s="37">
        <f t="shared" si="7"/>
        <v>-18.675081754005159</v>
      </c>
      <c r="I58" s="37">
        <f t="shared" si="7"/>
        <v>-18.541272162501166</v>
      </c>
      <c r="J58" s="37">
        <f t="shared" si="7"/>
        <v>-18.310201328160005</v>
      </c>
      <c r="K58" s="37">
        <f t="shared" si="7"/>
        <v>-17.941988689329101</v>
      </c>
    </row>
    <row r="59" spans="1:19" x14ac:dyDescent="0.2">
      <c r="C59" s="37">
        <f t="shared" ref="C59:K59" si="8">C48-CallPrice</f>
        <v>-18.793515114597664</v>
      </c>
      <c r="D59" s="37">
        <f t="shared" si="8"/>
        <v>-18.782630500205563</v>
      </c>
      <c r="E59" s="37">
        <f t="shared" si="8"/>
        <v>-18.755842313828197</v>
      </c>
      <c r="F59" s="37">
        <f t="shared" si="8"/>
        <v>-18.698850322854007</v>
      </c>
      <c r="G59" s="37">
        <f t="shared" si="8"/>
        <v>-18.591063827812953</v>
      </c>
      <c r="H59" s="37">
        <f t="shared" si="8"/>
        <v>-18.405930028271342</v>
      </c>
      <c r="I59" s="37">
        <f t="shared" si="8"/>
        <v>-18.112290225398578</v>
      </c>
      <c r="J59" s="37">
        <f t="shared" si="8"/>
        <v>-17.676500436588817</v>
      </c>
      <c r="K59" s="37">
        <f t="shared" si="8"/>
        <v>-17.064906204972438</v>
      </c>
    </row>
    <row r="60" spans="1:19" x14ac:dyDescent="0.2">
      <c r="C60" s="37">
        <f t="shared" ref="C60:K60" si="9">C49-CallPrice</f>
        <v>-18.770881468674439</v>
      </c>
      <c r="D60" s="37">
        <f t="shared" si="9"/>
        <v>-18.730060405682259</v>
      </c>
      <c r="E60" s="37">
        <f t="shared" si="9"/>
        <v>-18.64997842581646</v>
      </c>
      <c r="F60" s="37">
        <f t="shared" si="9"/>
        <v>-18.508888944377567</v>
      </c>
      <c r="G60" s="37">
        <f t="shared" si="9"/>
        <v>-18.280972258584065</v>
      </c>
      <c r="H60" s="37">
        <f t="shared" si="9"/>
        <v>-17.938001870771373</v>
      </c>
      <c r="I60" s="37">
        <f t="shared" si="9"/>
        <v>-17.451281170954104</v>
      </c>
      <c r="J60" s="37">
        <f t="shared" si="9"/>
        <v>-16.79352717735901</v>
      </c>
      <c r="K60" s="37">
        <f t="shared" si="9"/>
        <v>-15.940460350367012</v>
      </c>
    </row>
    <row r="61" spans="1:19" x14ac:dyDescent="0.2">
      <c r="C61" s="37">
        <f t="shared" ref="C61:K61" si="10">C50-CallPrice</f>
        <v>-18.707313419492824</v>
      </c>
      <c r="D61" s="37">
        <f t="shared" si="10"/>
        <v>-18.608042172716249</v>
      </c>
      <c r="E61" s="37">
        <f t="shared" si="10"/>
        <v>-18.440287242471037</v>
      </c>
      <c r="F61" s="37">
        <f t="shared" si="10"/>
        <v>-18.179255734237341</v>
      </c>
      <c r="G61" s="37">
        <f t="shared" si="10"/>
        <v>-17.799228801952037</v>
      </c>
      <c r="H61" s="37">
        <f t="shared" si="10"/>
        <v>-17.275238757160906</v>
      </c>
      <c r="I61" s="37">
        <f t="shared" si="10"/>
        <v>-16.584495259865072</v>
      </c>
      <c r="J61" s="37">
        <f t="shared" si="10"/>
        <v>-15.707443775647864</v>
      </c>
      <c r="K61" s="37">
        <f t="shared" si="10"/>
        <v>-14.628426109731151</v>
      </c>
    </row>
    <row r="62" spans="1:19" x14ac:dyDescent="0.2">
      <c r="C62" s="37"/>
      <c r="D62" s="37"/>
      <c r="E62" s="37"/>
      <c r="F62" s="37"/>
      <c r="G62" s="37"/>
      <c r="H62" s="37"/>
      <c r="I62" s="37"/>
      <c r="J62" s="37"/>
      <c r="K62" s="37"/>
    </row>
    <row r="63" spans="1:19" x14ac:dyDescent="0.2">
      <c r="C63" s="37"/>
      <c r="D63" s="37"/>
      <c r="E63" s="37"/>
      <c r="F63" s="37"/>
      <c r="G63" s="37"/>
      <c r="H63" s="37"/>
      <c r="I63" s="37"/>
      <c r="J63" s="37"/>
      <c r="K63" s="37"/>
    </row>
  </sheetData>
  <mergeCells count="9">
    <mergeCell ref="A29:A37"/>
    <mergeCell ref="C27:K27"/>
    <mergeCell ref="C40:K40"/>
    <mergeCell ref="A42:A50"/>
    <mergeCell ref="B2:D2"/>
    <mergeCell ref="C11:D11"/>
    <mergeCell ref="C12:D12"/>
    <mergeCell ref="C13:D13"/>
    <mergeCell ref="C14:D14"/>
  </mergeCells>
  <conditionalFormatting sqref="C29:K3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:K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419AB-0C43-F94F-8E53-0C1109A7086E}">
  <dimension ref="A1:AL103"/>
  <sheetViews>
    <sheetView zoomScale="94" zoomScaleNormal="92" workbookViewId="0">
      <selection activeCell="J4" sqref="J4"/>
    </sheetView>
  </sheetViews>
  <sheetFormatPr baseColWidth="10" defaultRowHeight="16" x14ac:dyDescent="0.2"/>
  <cols>
    <col min="1" max="2" width="10.83203125" style="39"/>
    <col min="3" max="4" width="12.1640625" style="39" bestFit="1" customWidth="1"/>
    <col min="5" max="7" width="10.83203125" style="39"/>
    <col min="8" max="8" width="15" style="39" bestFit="1" customWidth="1"/>
    <col min="9" max="10" width="10.83203125" style="39"/>
    <col min="11" max="11" width="10.83203125" style="39" customWidth="1"/>
    <col min="12" max="12" width="0" style="39" hidden="1" customWidth="1"/>
    <col min="13" max="35" width="10.83203125" style="39"/>
    <col min="36" max="36" width="0" style="39" hidden="1" customWidth="1"/>
    <col min="37" max="16384" width="10.83203125" style="39"/>
  </cols>
  <sheetData>
    <row r="1" spans="1:38" x14ac:dyDescent="0.2">
      <c r="A1" s="44" t="s">
        <v>49</v>
      </c>
      <c r="B1" s="86" t="str">
        <f>IF(Type="C","Call","Put")</f>
        <v>Call</v>
      </c>
      <c r="C1" s="86"/>
      <c r="D1" s="86"/>
      <c r="E1" s="86"/>
      <c r="F1" s="87"/>
    </row>
    <row r="2" spans="1:38" ht="17" thickBot="1" x14ac:dyDescent="0.25">
      <c r="A2" s="55" t="s">
        <v>56</v>
      </c>
      <c r="B2" s="84">
        <f>Td</f>
        <v>0.5</v>
      </c>
      <c r="C2" s="84"/>
      <c r="D2" s="84"/>
      <c r="E2" s="84"/>
      <c r="F2" s="85"/>
    </row>
    <row r="3" spans="1:38" x14ac:dyDescent="0.2">
      <c r="A3" s="64" t="s">
        <v>46</v>
      </c>
      <c r="B3" s="67" t="str">
        <f>"Delta " &amp; Td</f>
        <v>Delta 0.5</v>
      </c>
      <c r="C3" s="70" t="s">
        <v>52</v>
      </c>
      <c r="D3" s="69" t="s">
        <v>53</v>
      </c>
      <c r="E3" s="68" t="s">
        <v>55</v>
      </c>
      <c r="F3" s="30" t="s">
        <v>54</v>
      </c>
      <c r="H3" s="44" t="s">
        <v>44</v>
      </c>
      <c r="I3" s="57">
        <v>50</v>
      </c>
      <c r="J3" s="57">
        <v>50</v>
      </c>
      <c r="AA3" s="64" t="s">
        <v>44</v>
      </c>
      <c r="AB3" s="67" t="str">
        <f>"Maturity "&amp;Tddeux</f>
        <v>Maturity 0.1</v>
      </c>
      <c r="AC3" s="70" t="s">
        <v>57</v>
      </c>
      <c r="AD3" s="69" t="s">
        <v>58</v>
      </c>
      <c r="AE3" s="68" t="s">
        <v>59</v>
      </c>
      <c r="AF3" s="30" t="s">
        <v>60</v>
      </c>
    </row>
    <row r="4" spans="1:38" x14ac:dyDescent="0.2">
      <c r="A4" s="65" cm="1">
        <f t="array" ref="A4:A103">_xlfn.SEQUENCE(100)</f>
        <v>1</v>
      </c>
      <c r="B4" s="60">
        <f t="shared" ref="B4:B35" si="0">OptionDelta(Type,A4,Sd,Td,Id,Vd,0)</f>
        <v>5.1332082917907461E-75</v>
      </c>
      <c r="C4" s="60">
        <f t="shared" ref="C4:C35" si="1">OptionGamma(A4,Sd,Td,Id,Vd,0)</f>
        <v>4.4385757270482388E-73</v>
      </c>
      <c r="D4" s="60" cm="1">
        <f t="array" ref="D4">OptionTheta(Type,A4,Sd,Td,Id,Vd,0)</f>
        <v>-5.4444101291714866E-77</v>
      </c>
      <c r="E4" s="60">
        <f t="shared" ref="E4" si="2">Sd*SQRT(Td)*_xlfn.NORM.S.DIST(L4,FALSE)</f>
        <v>1.1701380807637789E-74</v>
      </c>
      <c r="F4" s="61" cm="1">
        <f t="array" ref="F4">OptionRho(Type,A4,Sd,Td,Id,Vd,0)</f>
        <v>2.5373450060286272E-77</v>
      </c>
      <c r="H4" s="54" t="s">
        <v>9</v>
      </c>
      <c r="I4" s="59">
        <v>0.5</v>
      </c>
      <c r="J4" s="59">
        <v>0.1</v>
      </c>
      <c r="L4" s="39">
        <f t="shared" ref="L4:L35" si="3">(LN(Sd/A4)+(Id+(Vd^2)/2)*Td)/(Vd*SQRT(Td))</f>
        <v>18.594659771230553</v>
      </c>
      <c r="AA4" s="65" cm="1">
        <f t="array" ref="AA4:AA103">_xlfn.SEQUENCE(100)</f>
        <v>1</v>
      </c>
      <c r="AB4" s="60">
        <f t="shared" ref="AB4:AB35" si="4">OptionDelta(Type,AA4,Sddeux,Tddeux,Iddeux,Vddeux,0)</f>
        <v>0</v>
      </c>
      <c r="AC4" s="60">
        <f t="shared" ref="AC4:AC35" si="5">OptionGamma(AA4,Sddeux,Tddeux,Iddeux,Vddeux,0)</f>
        <v>0</v>
      </c>
      <c r="AD4" s="60" cm="1">
        <f t="array" ref="AD4">OptionTheta(Type,AA4,Sddeux,Tddeux,Iddeux,Vddeux,0)</f>
        <v>0</v>
      </c>
      <c r="AE4" s="60">
        <f t="shared" ref="AE4:AE35" si="6">Sd*SQRT(Tddeux)*_xlfn.NORM.S.DIST(AL4,FALSE)</f>
        <v>0</v>
      </c>
      <c r="AF4" s="61" cm="1">
        <f t="array" ref="AF4">OptionRho(Type,AA4,Sddeux,Tddeux,Iddeux,Vddeux,0)</f>
        <v>0</v>
      </c>
      <c r="AL4" s="39">
        <f t="shared" ref="AL4:AL35" si="7">(LN(Sddeux/AA4)+(Iddeux+(Vddeux^2)/2)*Tddeux)/(Vddeux*SQRT(Tddeux))</f>
        <v>41.304859203070947</v>
      </c>
    </row>
    <row r="5" spans="1:38" x14ac:dyDescent="0.2">
      <c r="A5" s="65">
        <v>2</v>
      </c>
      <c r="B5" s="60">
        <f t="shared" si="0"/>
        <v>2.6860630117342312E-51</v>
      </c>
      <c r="C5" s="60">
        <f t="shared" si="1"/>
        <v>9.5515682960666003E-50</v>
      </c>
      <c r="D5" s="60" cm="1">
        <f t="array" ref="D5">OptionTheta(Type,A5,Sd,Td,Id,Vd,0)</f>
        <v>-4.6813325860617134E-53</v>
      </c>
      <c r="E5" s="60">
        <f t="shared" ref="E5:E68" si="8">Sd*SQRT(Td)*_xlfn.NORM.S.DIST(L5,FALSE)</f>
        <v>1.3706269446692135E-50</v>
      </c>
      <c r="F5" s="61" cm="1">
        <f t="array" ref="F5">OptionRho(Type,A5,Sd,Td,Id,Vd,0)</f>
        <v>2.6489748448655772E-53</v>
      </c>
      <c r="H5" s="54" t="s">
        <v>43</v>
      </c>
      <c r="I5" s="56">
        <v>0.3</v>
      </c>
      <c r="J5" s="56">
        <v>0.3</v>
      </c>
      <c r="L5" s="39">
        <f t="shared" si="3"/>
        <v>15.327132626335395</v>
      </c>
      <c r="AA5" s="65">
        <v>2</v>
      </c>
      <c r="AB5" s="60">
        <f t="shared" si="4"/>
        <v>1.2325464155219652E-251</v>
      </c>
      <c r="AC5" s="60">
        <f t="shared" si="5"/>
        <v>2.2015830515472013E-249</v>
      </c>
      <c r="AD5" s="60" cm="1">
        <f t="array" ref="AD5">OptionTheta(Type,AA5,Sddeux,Tddeux,Iddeux,Vddeux,0)</f>
        <v>-1.0843652212157077E-252</v>
      </c>
      <c r="AE5" s="60">
        <f t="shared" si="6"/>
        <v>6.3184368427131845E-251</v>
      </c>
      <c r="AF5" s="61" cm="1">
        <f t="array" ref="AF5">OptionRho(Type,AA5,Sddeux,Tddeux,Iddeux,Vddeux,0)</f>
        <v>2.4582176738144743E-254</v>
      </c>
      <c r="AL5" s="39">
        <f t="shared" si="7"/>
        <v>33.998446388759568</v>
      </c>
    </row>
    <row r="6" spans="1:38" ht="17" thickBot="1" x14ac:dyDescent="0.25">
      <c r="A6" s="65">
        <v>3</v>
      </c>
      <c r="B6" s="60">
        <f t="shared" si="0"/>
        <v>1.455626354037003E-39</v>
      </c>
      <c r="C6" s="60">
        <f t="shared" si="1"/>
        <v>3.0157444712338614E-38</v>
      </c>
      <c r="D6" s="60" cm="1">
        <f t="array" ref="D6">OptionTheta(Type,A6,Sd,Td,Id,Vd,0)</f>
        <v>-3.3226857339842971E-41</v>
      </c>
      <c r="E6" s="60">
        <f t="shared" si="8"/>
        <v>1.1659620632703588E-38</v>
      </c>
      <c r="F6" s="61" cm="1">
        <f t="array" ref="F6">OptionRho(Type,A6,Sd,Td,Id,Vd,0)</f>
        <v>2.1490544863612544E-41</v>
      </c>
      <c r="H6" s="55" t="s">
        <v>6</v>
      </c>
      <c r="I6" s="58">
        <v>0.02</v>
      </c>
      <c r="J6" s="58">
        <v>0.02</v>
      </c>
      <c r="L6" s="39">
        <f t="shared" si="3"/>
        <v>13.415751776483265</v>
      </c>
      <c r="AA6" s="65">
        <v>3</v>
      </c>
      <c r="AB6" s="60">
        <f t="shared" si="4"/>
        <v>1.0840465705518044E-192</v>
      </c>
      <c r="AC6" s="60">
        <f t="shared" si="5"/>
        <v>1.1282555173657953E-190</v>
      </c>
      <c r="AD6" s="60" cm="1">
        <f t="array" ref="AD6">OptionTheta(Type,AA6,Sddeux,Tddeux,Iddeux,Vddeux,0)</f>
        <v>-1.2501236458609161E-193</v>
      </c>
      <c r="AE6" s="60">
        <f t="shared" si="6"/>
        <v>8.7242347186383623E-192</v>
      </c>
      <c r="AF6" s="61" cm="1">
        <f t="array" ref="AF6">OptionRho(Type,AA6,Sddeux,Tddeux,Iddeux,Vddeux,0)</f>
        <v>3.2417689695627333E-195</v>
      </c>
      <c r="AL6" s="39">
        <f t="shared" si="7"/>
        <v>29.724468877598888</v>
      </c>
    </row>
    <row r="7" spans="1:38" x14ac:dyDescent="0.2">
      <c r="A7" s="65">
        <v>4</v>
      </c>
      <c r="B7" s="60">
        <f t="shared" si="0"/>
        <v>3.4000136885040191E-32</v>
      </c>
      <c r="C7" s="60">
        <f t="shared" si="1"/>
        <v>4.7430666901548799E-31</v>
      </c>
      <c r="D7" s="60" cm="1">
        <f t="array" ref="D7">OptionTheta(Type,A7,Sd,Td,Id,Vd,0)</f>
        <v>-9.2829686769994333E-34</v>
      </c>
      <c r="E7" s="60">
        <f t="shared" si="8"/>
        <v>3.7047159189723955E-31</v>
      </c>
      <c r="F7" s="61" cm="1">
        <f t="array" ref="F7">OptionRho(Type,A7,Sd,Td,Id,Vd,0)</f>
        <v>6.6811124516799902E-34</v>
      </c>
      <c r="L7" s="39">
        <f t="shared" si="3"/>
        <v>12.05960548144024</v>
      </c>
      <c r="AA7" s="65">
        <v>4</v>
      </c>
      <c r="AB7" s="60">
        <f t="shared" si="4"/>
        <v>1.124193847466616E-155</v>
      </c>
      <c r="AC7" s="60">
        <f t="shared" si="5"/>
        <v>7.8780728855697749E-154</v>
      </c>
      <c r="AD7" s="60" cm="1">
        <f t="array" ref="AD7">OptionTheta(Type,AA7,Sddeux,Tddeux,Iddeux,Vddeux,0)</f>
        <v>-1.5515755760075647E-156</v>
      </c>
      <c r="AE7" s="60">
        <f t="shared" si="6"/>
        <v>1.2306814951844481E-154</v>
      </c>
      <c r="AF7" s="61" cm="1">
        <f t="array" ref="AF7">OptionRho(Type,AA7,Sddeux,Tddeux,Iddeux,Vddeux,0)</f>
        <v>4.4808125913129363E-158</v>
      </c>
      <c r="AL7" s="39">
        <f t="shared" si="7"/>
        <v>26.692033574448192</v>
      </c>
    </row>
    <row r="8" spans="1:38" x14ac:dyDescent="0.2">
      <c r="A8" s="65">
        <v>5</v>
      </c>
      <c r="B8" s="60">
        <f t="shared" si="0"/>
        <v>5.0188904137973148E-27</v>
      </c>
      <c r="C8" s="60">
        <f t="shared" si="1"/>
        <v>5.1071696851313315E-26</v>
      </c>
      <c r="D8" s="60" cm="1">
        <f t="array" ref="D8">OptionTheta(Type,A8,Sd,Td,Id,Vd,0)</f>
        <v>-1.5606401836067888E-28</v>
      </c>
      <c r="E8" s="60">
        <f t="shared" si="8"/>
        <v>6.88283107417234E-26</v>
      </c>
      <c r="F8" s="61" cm="1">
        <f t="array" ref="F8">OptionRho(Type,A8,Sd,Td,Id,Vd,0)</f>
        <v>1.2307306401991767E-28</v>
      </c>
      <c r="L8" s="39">
        <f t="shared" si="3"/>
        <v>11.0076966926914</v>
      </c>
      <c r="AA8" s="65">
        <v>5</v>
      </c>
      <c r="AB8" s="60">
        <f t="shared" si="4"/>
        <v>1.0378004714414268E-129</v>
      </c>
      <c r="AC8" s="60">
        <f t="shared" si="5"/>
        <v>5.3042940059855138E-128</v>
      </c>
      <c r="AD8" s="60" cm="1">
        <f t="array" ref="AD8">OptionTheta(Type,AA8,Sddeux,Tddeux,Iddeux,Vddeux,0)</f>
        <v>-1.6320529138724074E-130</v>
      </c>
      <c r="AE8" s="60">
        <f t="shared" si="6"/>
        <v>1.4296983206659727E-128</v>
      </c>
      <c r="AF8" s="61" cm="1">
        <f t="array" ref="AF8">OptionRho(Type,AA8,Sddeux,Tddeux,Iddeux,Vddeux,0)</f>
        <v>5.1688105497079885E-132</v>
      </c>
      <c r="AL8" s="39">
        <f t="shared" si="7"/>
        <v>24.339894016676322</v>
      </c>
    </row>
    <row r="9" spans="1:38" x14ac:dyDescent="0.2">
      <c r="A9" s="65">
        <v>6</v>
      </c>
      <c r="B9" s="60">
        <f t="shared" si="0"/>
        <v>3.7179775834455025E-23</v>
      </c>
      <c r="C9" s="60">
        <f t="shared" si="1"/>
        <v>2.9040076669076E-22</v>
      </c>
      <c r="D9" s="60" cm="1">
        <f t="array" ref="D9">OptionTheta(Type,A9,Sd,Td,Id,Vd,0)</f>
        <v>-1.2769315370389363E-24</v>
      </c>
      <c r="E9" s="60">
        <f t="shared" si="8"/>
        <v>6.111372264821695E-22</v>
      </c>
      <c r="F9" s="61" cm="1">
        <f t="array" ref="F9">OptionRho(Type,A9,Sd,Td,Id,Vd,0)</f>
        <v>1.0923077549548282E-24</v>
      </c>
      <c r="L9" s="39">
        <f t="shared" si="3"/>
        <v>10.148224631588107</v>
      </c>
      <c r="AA9" s="65">
        <v>6</v>
      </c>
      <c r="AB9" s="60">
        <f t="shared" si="4"/>
        <v>2.8226215933681989E-110</v>
      </c>
      <c r="AC9" s="60">
        <f t="shared" si="5"/>
        <v>1.1070971936549172E-108</v>
      </c>
      <c r="AD9" s="60" cm="1">
        <f t="array" ref="AD9">OptionTheta(Type,AA9,Sddeux,Tddeux,Iddeux,Vddeux,0)</f>
        <v>-4.9044509905834065E-111</v>
      </c>
      <c r="AE9" s="60">
        <f t="shared" si="6"/>
        <v>4.6596867913707407E-109</v>
      </c>
      <c r="AF9" s="61" cm="1">
        <f t="array" ref="AF9">OptionRho(Type,AA9,Sddeux,Tddeux,Iddeux,Vddeux,0)</f>
        <v>1.6864210790109146E-112</v>
      </c>
      <c r="AL9" s="39">
        <f t="shared" si="7"/>
        <v>22.418056063287509</v>
      </c>
    </row>
    <row r="10" spans="1:38" x14ac:dyDescent="0.2">
      <c r="A10" s="65">
        <v>7</v>
      </c>
      <c r="B10" s="60">
        <f t="shared" si="0"/>
        <v>3.9285055490217448E-20</v>
      </c>
      <c r="C10" s="60">
        <f t="shared" si="1"/>
        <v>2.4398590605392286E-19</v>
      </c>
      <c r="D10" s="60" cm="1">
        <f t="array" ref="D10">OptionTheta(Type,A10,Sd,Td,Id,Vd,0)</f>
        <v>-1.4592091741274194E-21</v>
      </c>
      <c r="E10" s="60">
        <f t="shared" si="8"/>
        <v>7.4843386153273122E-19</v>
      </c>
      <c r="F10" s="61" cm="1">
        <f t="array" ref="F10">OptionRho(Type,A10,Sd,Td,Id,Vd,0)</f>
        <v>1.344393573097942E-21</v>
      </c>
      <c r="L10" s="39">
        <f t="shared" si="3"/>
        <v>9.4215513580523016</v>
      </c>
      <c r="AA10" s="65">
        <v>7</v>
      </c>
      <c r="AB10" s="60">
        <f t="shared" si="4"/>
        <v>4.2990051065964214E-95</v>
      </c>
      <c r="AC10" s="60">
        <f t="shared" si="5"/>
        <v>1.340323559213491E-93</v>
      </c>
      <c r="AD10" s="60" cm="1">
        <f t="array" ref="AD10">OptionTheta(Type,AA10,Sddeux,Tddeux,Iddeux,Vddeux,0)</f>
        <v>-8.0806088488776182E-96</v>
      </c>
      <c r="AE10" s="60">
        <f t="shared" si="6"/>
        <v>8.2229629846223416E-94</v>
      </c>
      <c r="AF10" s="61" cm="1">
        <f t="array" ref="AF10">OptionRho(Type,AA10,Sddeux,Tddeux,Iddeux,Vddeux,0)</f>
        <v>2.99560911270837E-97</v>
      </c>
      <c r="AL10" s="39">
        <f t="shared" si="7"/>
        <v>20.793165226229149</v>
      </c>
    </row>
    <row r="11" spans="1:38" x14ac:dyDescent="0.2">
      <c r="A11" s="65">
        <v>8</v>
      </c>
      <c r="B11" s="60">
        <f t="shared" si="0"/>
        <v>1.0724390330406408E-17</v>
      </c>
      <c r="C11" s="60">
        <f t="shared" si="1"/>
        <v>5.4349715009862087E-17</v>
      </c>
      <c r="D11" s="60" cm="1">
        <f t="array" ref="D11">OptionTheta(Type,A11,Sd,Td,Id,Vd,0)</f>
        <v>-4.2425225979859565E-19</v>
      </c>
      <c r="E11" s="60">
        <f t="shared" si="8"/>
        <v>2.3107025947864131E-16</v>
      </c>
      <c r="F11" s="61" cm="1">
        <f t="array" ref="F11">OptionRho(Type,A11,Sd,Td,Id,Vd,0)</f>
        <v>4.187761004788452E-19</v>
      </c>
      <c r="L11" s="39">
        <f t="shared" si="3"/>
        <v>8.7920783365450816</v>
      </c>
      <c r="AA11" s="65">
        <v>8</v>
      </c>
      <c r="AB11" s="60">
        <f t="shared" si="4"/>
        <v>7.2530451701905099E-83</v>
      </c>
      <c r="AC11" s="60">
        <f t="shared" si="5"/>
        <v>1.8444733596748125E-81</v>
      </c>
      <c r="AD11" s="60" cm="1">
        <f t="array" ref="AD11">OptionTheta(Type,AA11,Sddeux,Tddeux,Iddeux,Vddeux,0)</f>
        <v>-1.4522013747220461E-83</v>
      </c>
      <c r="AE11" s="60">
        <f t="shared" si="6"/>
        <v>1.5683723005508087E-81</v>
      </c>
      <c r="AF11" s="61" cm="1">
        <f t="array" ref="AF11">OptionRho(Type,AA11,Sddeux,Tddeux,Iddeux,Vddeux,0)</f>
        <v>5.7741290639955918E-85</v>
      </c>
      <c r="AL11" s="39">
        <f t="shared" si="7"/>
        <v>19.385620760136817</v>
      </c>
    </row>
    <row r="12" spans="1:38" x14ac:dyDescent="0.2">
      <c r="A12" s="65">
        <v>9</v>
      </c>
      <c r="B12" s="60">
        <f t="shared" si="0"/>
        <v>1.0919344889829423E-15</v>
      </c>
      <c r="C12" s="60">
        <f t="shared" si="1"/>
        <v>4.6056923203356166E-15</v>
      </c>
      <c r="D12" s="60" cm="1">
        <f t="array" ref="D12">OptionTheta(Type,A12,Sd,Td,Id,Vd,0)</f>
        <v>-4.546897300581775E-17</v>
      </c>
      <c r="E12" s="60">
        <f t="shared" si="8"/>
        <v>2.6114469155465014E-14</v>
      </c>
      <c r="F12" s="61" cm="1">
        <f t="array" ref="F12">OptionRho(Type,A12,Sd,Td,Id,Vd,0)</f>
        <v>4.7893340124960334E-17</v>
      </c>
      <c r="L12" s="39">
        <f t="shared" si="3"/>
        <v>8.2368437817359759</v>
      </c>
      <c r="AA12" s="65">
        <v>9</v>
      </c>
      <c r="AB12" s="60">
        <f t="shared" si="4"/>
        <v>8.5770268261961074E-73</v>
      </c>
      <c r="AC12" s="60">
        <f t="shared" si="5"/>
        <v>1.814448659654613E-71</v>
      </c>
      <c r="AD12" s="60" cm="1">
        <f t="array" ref="AD12">OptionTheta(Type,AA12,Sddeux,Tddeux,Iddeux,Vddeux,0)</f>
        <v>-1.8077553805867997E-73</v>
      </c>
      <c r="AE12" s="60">
        <f t="shared" si="6"/>
        <v>2.0576000419096493E-71</v>
      </c>
      <c r="AF12" s="61" cm="1">
        <f t="array" ref="AF12">OptionRho(Type,AA12,Sddeux,Tddeux,Iddeux,Vddeux,0)</f>
        <v>7.6791126496217756E-75</v>
      </c>
      <c r="AL12" s="39">
        <f t="shared" si="7"/>
        <v>18.144078552126825</v>
      </c>
    </row>
    <row r="13" spans="1:38" x14ac:dyDescent="0.2">
      <c r="A13" s="65">
        <v>10</v>
      </c>
      <c r="B13" s="60">
        <f t="shared" si="0"/>
        <v>5.2778059195849764E-14</v>
      </c>
      <c r="C13" s="60">
        <f t="shared" si="1"/>
        <v>1.8818593693118437E-13</v>
      </c>
      <c r="D13" s="60" cm="1">
        <f t="array" ref="D13">OptionTheta(Type,A13,Sd,Td,Id,Vd,0)</f>
        <v>-2.2919577893456346E-15</v>
      </c>
      <c r="E13" s="60">
        <f t="shared" si="8"/>
        <v>1.3804640124462935E-12</v>
      </c>
      <c r="F13" s="61" cm="1">
        <f t="array" ref="F13">OptionRho(Type,A13,Sd,Td,Id,Vd,0)</f>
        <v>2.5680307697931894E-15</v>
      </c>
      <c r="L13" s="39">
        <f t="shared" si="3"/>
        <v>7.7401695477962402</v>
      </c>
      <c r="AA13" s="65">
        <v>10</v>
      </c>
      <c r="AB13" s="60">
        <f t="shared" si="4"/>
        <v>2.3891413860532727E-64</v>
      </c>
      <c r="AC13" s="60">
        <f t="shared" si="5"/>
        <v>4.2699635840682415E-63</v>
      </c>
      <c r="AD13" s="60" cm="1">
        <f t="array" ref="AD13">OptionTheta(Type,AA13,Sddeux,Tddeux,Iddeux,Vddeux,0)</f>
        <v>-5.2513200730179073E-65</v>
      </c>
      <c r="AE13" s="60">
        <f t="shared" si="6"/>
        <v>6.2645818900040119E-63</v>
      </c>
      <c r="AF13" s="61" cm="1">
        <f t="array" ref="AF13">OptionRho(Type,AA13,Sddeux,Tddeux,Iddeux,Vddeux,0)</f>
        <v>2.3758930895862639E-66</v>
      </c>
      <c r="AL13" s="39">
        <f t="shared" si="7"/>
        <v>17.033481202364939</v>
      </c>
    </row>
    <row r="14" spans="1:38" x14ac:dyDescent="0.2">
      <c r="A14" s="65">
        <v>11</v>
      </c>
      <c r="B14" s="60">
        <f t="shared" si="0"/>
        <v>1.4297673431712062E-12</v>
      </c>
      <c r="C14" s="60">
        <f t="shared" si="1"/>
        <v>4.3640135377698149E-12</v>
      </c>
      <c r="D14" s="60" cm="1">
        <f t="array" ref="D14">OptionTheta(Type,A14,Sd,Td,Id,Vd,0)</f>
        <v>-6.4264232257074841E-14</v>
      </c>
      <c r="E14" s="60">
        <f t="shared" si="8"/>
        <v>4.0411608058516828E-11</v>
      </c>
      <c r="F14" s="61" cm="1">
        <f t="array" ref="F14">OptionRho(Type,A14,Sd,Td,Id,Vd,0)</f>
        <v>7.6402234831080018E-14</v>
      </c>
      <c r="L14" s="39">
        <f t="shared" si="3"/>
        <v>7.2908730514245921</v>
      </c>
      <c r="AA14" s="65">
        <v>11</v>
      </c>
      <c r="AB14" s="60">
        <f t="shared" si="4"/>
        <v>3.6116572613308746E-57</v>
      </c>
      <c r="AC14" s="60">
        <f t="shared" si="5"/>
        <v>5.5216439367268023E-56</v>
      </c>
      <c r="AD14" s="60" cm="1">
        <f t="array" ref="AD14">OptionTheta(Type,AA14,Sddeux,Tddeux,Iddeux,Vddeux,0)</f>
        <v>-8.2154418239890096E-58</v>
      </c>
      <c r="AE14" s="60">
        <f t="shared" si="6"/>
        <v>1.0226297818669318E-55</v>
      </c>
      <c r="AF14" s="61" cm="1">
        <f t="array" ref="AF14">OptionRho(Type,AA14,Sddeux,Tddeux,Iddeux,Vddeux,0)</f>
        <v>3.9494288958776105E-59</v>
      </c>
      <c r="AL14" s="39">
        <f t="shared" si="7"/>
        <v>16.028823694425448</v>
      </c>
    </row>
    <row r="15" spans="1:38" x14ac:dyDescent="0.2">
      <c r="A15" s="65">
        <v>12</v>
      </c>
      <c r="B15" s="60">
        <f t="shared" si="0"/>
        <v>2.4443830908465321E-11</v>
      </c>
      <c r="C15" s="60">
        <f t="shared" si="1"/>
        <v>6.4528931094111627E-11</v>
      </c>
      <c r="D15" s="60" cm="1">
        <f t="array" ref="D15">OptionTheta(Type,A15,Sd,Td,Id,Vd,0)</f>
        <v>-1.1300192262966194E-12</v>
      </c>
      <c r="E15" s="60">
        <f t="shared" si="8"/>
        <v>7.3917377797581349E-10</v>
      </c>
      <c r="F15" s="61" cm="1">
        <f t="array" ref="F15">OptionRho(Type,A15,Sd,Td,Id,Vd,0)</f>
        <v>1.4226139728942924E-12</v>
      </c>
      <c r="L15" s="39">
        <f t="shared" si="3"/>
        <v>6.8806974866929504</v>
      </c>
      <c r="AA15" s="65">
        <v>12</v>
      </c>
      <c r="AB15" s="60">
        <f t="shared" si="4"/>
        <v>5.3797591608373623E-51</v>
      </c>
      <c r="AC15" s="60">
        <f t="shared" si="5"/>
        <v>7.1077395431820161E-50</v>
      </c>
      <c r="AD15" s="60" cm="1">
        <f t="array" ref="AD15">OptionTheta(Type,AA15,Sddeux,Tddeux,Iddeux,Vddeux,0)</f>
        <v>-1.2583518854139339E-51</v>
      </c>
      <c r="AE15" s="60">
        <f t="shared" si="6"/>
        <v>1.6283718331982196E-49</v>
      </c>
      <c r="AF15" s="61" cm="1">
        <f t="array" ref="AF15">OptionRho(Type,AA15,Sddeux,Tddeux,Iddeux,Vddeux,0)</f>
        <v>6.4154211105434012E-53</v>
      </c>
      <c r="AL15" s="39">
        <f t="shared" si="7"/>
        <v>15.111643248976133</v>
      </c>
    </row>
    <row r="16" spans="1:38" x14ac:dyDescent="0.2">
      <c r="A16" s="65">
        <v>13</v>
      </c>
      <c r="B16" s="60">
        <f t="shared" si="0"/>
        <v>2.8782133355237142E-10</v>
      </c>
      <c r="C16" s="60">
        <f t="shared" si="1"/>
        <v>6.6283457078346325E-10</v>
      </c>
      <c r="D16" s="60" cm="1">
        <f t="array" ref="D16">OptionTheta(Type,A16,Sd,Td,Id,Vd,0)</f>
        <v>-1.3612029082452367E-11</v>
      </c>
      <c r="E16" s="60">
        <f t="shared" si="8"/>
        <v>9.233604523283483E-9</v>
      </c>
      <c r="F16" s="61" cm="1">
        <f t="array" ref="F16">OptionRho(Type,A16,Sd,Td,Id,Vd,0)</f>
        <v>1.8116573928280941E-11</v>
      </c>
      <c r="L16" s="39">
        <f t="shared" si="3"/>
        <v>6.5033725441563499</v>
      </c>
      <c r="AA16" s="65">
        <v>13</v>
      </c>
      <c r="AB16" s="60">
        <f t="shared" si="4"/>
        <v>1.2251916453571078E-45</v>
      </c>
      <c r="AC16" s="60">
        <f t="shared" si="5"/>
        <v>1.4107731764612116E-44</v>
      </c>
      <c r="AD16" s="60" cm="1">
        <f t="array" ref="AD16">OptionTheta(Type,AA16,Sddeux,Tddeux,Iddeux,Vddeux,0)</f>
        <v>-2.9307631237954041E-46</v>
      </c>
      <c r="AE16" s="60">
        <f t="shared" si="6"/>
        <v>3.9305498408455336E-44</v>
      </c>
      <c r="AF16" s="61" cm="1">
        <f t="array" ref="AF16">OptionRho(Type,AA16,Sddeux,Tddeux,Iddeux,Vddeux,0)</f>
        <v>1.5822302567143834E-47</v>
      </c>
      <c r="AL16" s="39">
        <f t="shared" si="7"/>
        <v>14.267919027858092</v>
      </c>
    </row>
    <row r="17" spans="1:38" x14ac:dyDescent="0.2">
      <c r="A17" s="65">
        <v>14</v>
      </c>
      <c r="B17" s="60">
        <f t="shared" si="0"/>
        <v>2.4934111960087249E-9</v>
      </c>
      <c r="C17" s="60">
        <f t="shared" si="1"/>
        <v>5.0457058714181552E-9</v>
      </c>
      <c r="D17" s="60" cm="1">
        <f t="array" ref="D17">OptionTheta(Type,A17,Sd,Td,Id,Vd,0)</f>
        <v>-1.2007729867827752E-10</v>
      </c>
      <c r="E17" s="60">
        <f t="shared" si="8"/>
        <v>8.4248411194378917E-8</v>
      </c>
      <c r="F17" s="61" cm="1">
        <f t="array" ref="F17">OptionRho(Type,A17,Sd,Td,Id,Vd,0)</f>
        <v>1.6872794208420958E-10</v>
      </c>
      <c r="L17" s="39">
        <f t="shared" si="3"/>
        <v>6.1540242131571459</v>
      </c>
      <c r="AA17" s="65">
        <v>14</v>
      </c>
      <c r="AB17" s="60">
        <f t="shared" si="4"/>
        <v>5.9447183181848334E-41</v>
      </c>
      <c r="AC17" s="60">
        <f t="shared" si="5"/>
        <v>6.0083856149135519E-40</v>
      </c>
      <c r="AD17" s="60" cm="1">
        <f t="array" ref="AD17">OptionTheta(Type,AA17,Sddeux,Tddeux,Iddeux,Vddeux,0)</f>
        <v>-1.4473608450554334E-41</v>
      </c>
      <c r="AE17" s="60">
        <f t="shared" si="6"/>
        <v>2.0064464905377058E-39</v>
      </c>
      <c r="AF17" s="61" cm="1">
        <f t="array" ref="AF17">OptionRho(Type,AA17,Sddeux,Tddeux,Iddeux,Vddeux,0)</f>
        <v>8.2645139507106573E-43</v>
      </c>
      <c r="AL17" s="39">
        <f t="shared" si="7"/>
        <v>13.486752411917774</v>
      </c>
    </row>
    <row r="18" spans="1:38" x14ac:dyDescent="0.2">
      <c r="A18" s="65">
        <v>15</v>
      </c>
      <c r="B18" s="60">
        <f t="shared" si="0"/>
        <v>1.6722313962930927E-8</v>
      </c>
      <c r="C18" s="60">
        <f t="shared" si="1"/>
        <v>2.9919381559077814E-8</v>
      </c>
      <c r="D18" s="60" cm="1">
        <f t="array" ref="D18">OptionTheta(Type,A18,Sd,Td,Id,Vd,0)</f>
        <v>-8.1669204429611077E-10</v>
      </c>
      <c r="E18" s="60">
        <f t="shared" si="8"/>
        <v>5.9133806522998392E-7</v>
      </c>
      <c r="F18" s="61" cm="1">
        <f t="array" ref="F18">OptionRho(Type,A18,Sd,Td,Id,Vd,0)</f>
        <v>1.2102855293956204E-9</v>
      </c>
      <c r="L18" s="39">
        <f t="shared" si="3"/>
        <v>5.8287886979441099</v>
      </c>
      <c r="AA18" s="65">
        <v>15</v>
      </c>
      <c r="AB18" s="60">
        <f t="shared" si="4"/>
        <v>7.9379493818448581E-37</v>
      </c>
      <c r="AC18" s="60">
        <f t="shared" si="5"/>
        <v>7.084749880550786E-36</v>
      </c>
      <c r="AD18" s="60" cm="1">
        <f t="array" ref="AD18">OptionTheta(Type,AA18,Sddeux,Tddeux,Iddeux,Vddeux,0)</f>
        <v>-1.9588139485168998E-37</v>
      </c>
      <c r="AE18" s="60">
        <f t="shared" si="6"/>
        <v>2.8005139603109404E-35</v>
      </c>
      <c r="AF18" s="61" cm="1">
        <f t="array" ref="AF18">OptionRho(Type,AA18,Sddeux,Tddeux,Iddeux,Vddeux,0)</f>
        <v>1.1819170985492661E-38</v>
      </c>
      <c r="AL18" s="39">
        <f t="shared" si="7"/>
        <v>12.759503691204259</v>
      </c>
    </row>
    <row r="19" spans="1:38" x14ac:dyDescent="0.2">
      <c r="A19" s="65">
        <v>16</v>
      </c>
      <c r="B19" s="60">
        <f t="shared" si="0"/>
        <v>9.0365272225269851E-8</v>
      </c>
      <c r="C19" s="60">
        <f t="shared" si="1"/>
        <v>1.4371060093933544E-7</v>
      </c>
      <c r="D19" s="60" cm="1">
        <f t="array" ref="D19">OptionTheta(Type,A19,Sd,Td,Id,Vd,0)</f>
        <v>-4.4594292660569057E-9</v>
      </c>
      <c r="E19" s="60">
        <f t="shared" si="8"/>
        <v>3.3257276934234963E-6</v>
      </c>
      <c r="F19" s="61" cm="1">
        <f t="array" ref="F19">OptionRho(Type,A19,Sd,Td,Id,Vd,0)</f>
        <v>6.9636101775933541E-9</v>
      </c>
      <c r="L19" s="39">
        <f t="shared" si="3"/>
        <v>5.5245511916499233</v>
      </c>
      <c r="AA19" s="65">
        <v>16</v>
      </c>
      <c r="AB19" s="60">
        <f t="shared" si="4"/>
        <v>3.5666166682561171E-33</v>
      </c>
      <c r="AC19" s="60">
        <f t="shared" si="5"/>
        <v>2.8254800859884921E-32</v>
      </c>
      <c r="AD19" s="60" cm="1">
        <f t="array" ref="AD19">OptionTheta(Type,AA19,Sddeux,Tddeux,Iddeux,Vddeux,0)</f>
        <v>-8.8866537855329428E-34</v>
      </c>
      <c r="AE19" s="60">
        <f t="shared" si="6"/>
        <v>1.3077361458053109E-31</v>
      </c>
      <c r="AF19" s="61" cm="1">
        <f t="array" ref="AF19">OptionRho(Type,AA19,Sddeux,Tddeux,Iddeux,Vddeux,0)</f>
        <v>5.6622136696093184E-35</v>
      </c>
      <c r="AL19" s="39">
        <f t="shared" si="7"/>
        <v>12.079207945825438</v>
      </c>
    </row>
    <row r="20" spans="1:38" x14ac:dyDescent="0.2">
      <c r="A20" s="65">
        <v>17</v>
      </c>
      <c r="B20" s="60">
        <f t="shared" si="0"/>
        <v>4.062286602672027E-7</v>
      </c>
      <c r="C20" s="60">
        <f t="shared" si="1"/>
        <v>5.768700000078962E-7</v>
      </c>
      <c r="D20" s="60" cm="1">
        <f t="array" ref="D20">OptionTheta(Type,A20,Sd,Td,Id,Vd,0)</f>
        <v>-2.0190136284255947E-8</v>
      </c>
      <c r="E20" s="60">
        <f t="shared" si="8"/>
        <v>1.5482299466522393E-5</v>
      </c>
      <c r="F20" s="61" cm="1">
        <f t="array" ref="F20">OptionRho(Type,A20,Sd,Td,Id,Vd,0)</f>
        <v>3.3198651587317303E-8</v>
      </c>
      <c r="L20" s="39">
        <f t="shared" si="3"/>
        <v>5.2387639836947839</v>
      </c>
      <c r="AA20" s="65">
        <v>17</v>
      </c>
      <c r="AB20" s="60">
        <f t="shared" si="4"/>
        <v>6.3306914374141821E-30</v>
      </c>
      <c r="AC20" s="60">
        <f t="shared" si="5"/>
        <v>4.4711076641916165E-29</v>
      </c>
      <c r="AD20" s="60" cm="1">
        <f t="array" ref="AD20">OptionTheta(Type,AA20,Sddeux,Tddeux,Iddeux,Vddeux,0)</f>
        <v>-1.587213054993874E-30</v>
      </c>
      <c r="AE20" s="60">
        <f t="shared" si="6"/>
        <v>2.3999524261317198E-28</v>
      </c>
      <c r="AF20" s="61" cm="1">
        <f t="array" ref="AF20">OptionRho(Type,AA20,Sddeux,Tddeux,Iddeux,Vddeux,0)</f>
        <v>1.0673933276778098E-31</v>
      </c>
      <c r="AL20" s="39">
        <f t="shared" si="7"/>
        <v>11.440168321737877</v>
      </c>
    </row>
    <row r="21" spans="1:38" x14ac:dyDescent="0.2">
      <c r="A21" s="65">
        <v>18</v>
      </c>
      <c r="B21" s="60">
        <f t="shared" si="0"/>
        <v>1.5588933669520255E-6</v>
      </c>
      <c r="C21" s="60">
        <f t="shared" si="1"/>
        <v>1.9845877531449574E-6</v>
      </c>
      <c r="D21" s="60" cm="1">
        <f t="array" ref="D21">OptionTheta(Type,A21,Sd,Td,Id,Vd,0)</f>
        <v>-7.7799336891052107E-8</v>
      </c>
      <c r="E21" s="60">
        <f t="shared" si="8"/>
        <v>6.1250224903765341E-5</v>
      </c>
      <c r="F21" s="61" cm="1">
        <f t="array" ref="F21">OptionRho(Type,A21,Sd,Td,Id,Vd,0)</f>
        <v>1.346328689048627E-7</v>
      </c>
      <c r="L21" s="39">
        <f t="shared" si="3"/>
        <v>4.9693166368408184</v>
      </c>
      <c r="AA21" s="65">
        <v>18</v>
      </c>
      <c r="AB21" s="60">
        <f t="shared" si="4"/>
        <v>5.0542261036749371E-27</v>
      </c>
      <c r="AC21" s="60">
        <f t="shared" si="5"/>
        <v>3.1943595819862064E-26</v>
      </c>
      <c r="AD21" s="60" cm="1">
        <f t="array" ref="AD21">OptionTheta(Type,AA21,Sddeux,Tddeux,Iddeux,Vddeux,0)</f>
        <v>-1.2710515911557181E-27</v>
      </c>
      <c r="AE21" s="60">
        <f t="shared" si="6"/>
        <v>1.9717469535938353E-25</v>
      </c>
      <c r="AF21" s="61" cm="1">
        <f t="array" ref="AF21">OptionRho(Type,AA21,Sddeux,Tddeux,Iddeux,Vddeux,0)</f>
        <v>9.0189814087583139E-29</v>
      </c>
      <c r="AL21" s="39">
        <f t="shared" si="7"/>
        <v>10.837665737815446</v>
      </c>
    </row>
    <row r="22" spans="1:38" x14ac:dyDescent="0.2">
      <c r="A22" s="65">
        <v>19</v>
      </c>
      <c r="B22" s="60">
        <f t="shared" si="0"/>
        <v>5.2157941136039076E-6</v>
      </c>
      <c r="C22" s="60">
        <f t="shared" si="1"/>
        <v>5.9734363907507689E-6</v>
      </c>
      <c r="D22" s="60" cm="1">
        <f t="array" ref="D22">OptionTheta(Type,A22,Sd,Td,Id,Vd,0)</f>
        <v>-2.6065844773883818E-7</v>
      </c>
      <c r="E22" s="60">
        <f t="shared" si="8"/>
        <v>2.1040684215597024E-4</v>
      </c>
      <c r="F22" s="61" cm="1">
        <f t="array" ref="F22">OptionRho(Type,A22,Sd,Td,Id,Vd,0)</f>
        <v>4.7453518576756809E-7</v>
      </c>
      <c r="L22" s="39">
        <f t="shared" si="3"/>
        <v>4.7144413115066488</v>
      </c>
      <c r="AA22" s="65">
        <v>19</v>
      </c>
      <c r="AB22" s="60">
        <f t="shared" si="4"/>
        <v>2.0184302237466159E-24</v>
      </c>
      <c r="AC22" s="60">
        <f t="shared" si="5"/>
        <v>1.1452812331832942E-23</v>
      </c>
      <c r="AD22" s="60" cm="1">
        <f t="array" ref="AD22">OptionTheta(Type,AA22,Sddeux,Tddeux,Iddeux,Vddeux,0)</f>
        <v>-5.0764635114443138E-25</v>
      </c>
      <c r="AE22" s="60">
        <f t="shared" si="6"/>
        <v>8.0682204309639174E-23</v>
      </c>
      <c r="AF22" s="61" cm="1">
        <f t="array" ref="AF22">OptionRho(Type,AA22,Sddeux,Tddeux,Iddeux,Vddeux,0)</f>
        <v>3.8000908145432822E-26</v>
      </c>
      <c r="AL22" s="39">
        <f t="shared" si="7"/>
        <v>10.26774718458087</v>
      </c>
    </row>
    <row r="23" spans="1:38" x14ac:dyDescent="0.2">
      <c r="A23" s="65">
        <v>20</v>
      </c>
      <c r="B23" s="60">
        <f t="shared" si="0"/>
        <v>1.5483950024769235E-5</v>
      </c>
      <c r="C23" s="60">
        <f t="shared" si="1"/>
        <v>1.6001015209949018E-5</v>
      </c>
      <c r="D23" s="60" cm="1">
        <f t="array" ref="D23">OptionTheta(Type,A23,Sd,Td,Id,Vd,0)</f>
        <v>-7.7287402363160361E-7</v>
      </c>
      <c r="E23" s="60">
        <f t="shared" si="8"/>
        <v>6.3890540523511982E-4</v>
      </c>
      <c r="F23" s="61" cm="1">
        <f t="array" ref="F23">OptionRho(Type,A23,Sd,Td,Id,Vd,0)</f>
        <v>1.4798137883867345E-6</v>
      </c>
      <c r="L23" s="39">
        <f t="shared" si="3"/>
        <v>4.4726424029010827</v>
      </c>
      <c r="AA23" s="65">
        <v>20</v>
      </c>
      <c r="AB23" s="60">
        <f t="shared" si="4"/>
        <v>4.4026989962856206E-22</v>
      </c>
      <c r="AC23" s="60">
        <f t="shared" si="5"/>
        <v>2.248993631241642E-21</v>
      </c>
      <c r="AD23" s="60" cm="1">
        <f t="array" ref="AD23">OptionTheta(Type,AA23,Sddeux,Tddeux,Iddeux,Vddeux,0)</f>
        <v>-1.104314173780524E-22</v>
      </c>
      <c r="AE23" s="60">
        <f t="shared" si="6"/>
        <v>1.7960037766181629E-20</v>
      </c>
      <c r="AF23" s="61" cm="1">
        <f t="array" ref="AF23">OptionRho(Type,AA23,Sddeux,Tddeux,Iddeux,Vddeux,0)</f>
        <v>8.7209009680213046E-24</v>
      </c>
      <c r="AL23" s="39">
        <f t="shared" si="7"/>
        <v>9.7270683880535653</v>
      </c>
    </row>
    <row r="24" spans="1:38" x14ac:dyDescent="0.2">
      <c r="A24" s="65">
        <v>21</v>
      </c>
      <c r="B24" s="60">
        <f t="shared" si="0"/>
        <v>4.1385750963595891E-5</v>
      </c>
      <c r="C24" s="60">
        <f t="shared" si="1"/>
        <v>3.8692315062393284E-5</v>
      </c>
      <c r="D24" s="60" cm="1">
        <f t="array" ref="D24">OptionTheta(Type,A24,Sd,Td,Id,Vd,0)</f>
        <v>-2.0582808010472144E-6</v>
      </c>
      <c r="E24" s="60">
        <f t="shared" si="8"/>
        <v>1.7406433857864881E-3</v>
      </c>
      <c r="F24" s="61" cm="1">
        <f t="array" ref="F24">OptionRho(Type,A24,Sd,Td,Id,Vd,0)</f>
        <v>4.144125007740364E-6</v>
      </c>
      <c r="L24" s="39">
        <f t="shared" si="3"/>
        <v>4.2426433633050147</v>
      </c>
      <c r="AA24" s="65">
        <v>21</v>
      </c>
      <c r="AB24" s="60">
        <f t="shared" si="4"/>
        <v>5.6452328335529099E-20</v>
      </c>
      <c r="AC24" s="60">
        <f t="shared" si="5"/>
        <v>2.602224968900353E-19</v>
      </c>
      <c r="AD24" s="60" cm="1">
        <f t="array" ref="AD24">OptionTheta(Type,AA24,Sddeux,Tddeux,Iddeux,Vddeux,0)</f>
        <v>-1.4083959474997684E-20</v>
      </c>
      <c r="AE24" s="60">
        <f t="shared" si="6"/>
        <v>2.3413154127070193E-18</v>
      </c>
      <c r="AF24" s="61" cm="1">
        <f t="array" ref="AF24">OptionRho(Type,AA24,Sddeux,Tddeux,Iddeux,Vddeux,0)</f>
        <v>1.1735121204297681E-21</v>
      </c>
      <c r="AL24" s="39">
        <f t="shared" si="7"/>
        <v>9.2127749007570898</v>
      </c>
    </row>
    <row r="25" spans="1:38" x14ac:dyDescent="0.2">
      <c r="A25" s="65">
        <v>22</v>
      </c>
      <c r="B25" s="60">
        <f t="shared" si="0"/>
        <v>1.0082795917900928E-4</v>
      </c>
      <c r="C25" s="60">
        <f t="shared" si="1"/>
        <v>8.5479845383647985E-5</v>
      </c>
      <c r="D25" s="60" cm="1">
        <f t="array" ref="D25">OptionTheta(Type,A25,Sd,Td,Id,Vd,0)</f>
        <v>-4.9850325962724073E-6</v>
      </c>
      <c r="E25" s="60">
        <f t="shared" si="8"/>
        <v>4.3085870473763121E-3</v>
      </c>
      <c r="F25" s="61" cm="1">
        <f t="array" ref="F25">OptionRho(Type,A25,Sd,Td,Id,Vd,0)</f>
        <v>1.0553533704105961E-5</v>
      </c>
      <c r="L25" s="39">
        <f t="shared" si="3"/>
        <v>4.0233459065294355</v>
      </c>
      <c r="AA25" s="65">
        <v>22</v>
      </c>
      <c r="AB25" s="60">
        <f t="shared" si="4"/>
        <v>4.5268785452732888E-18</v>
      </c>
      <c r="AC25" s="60">
        <f t="shared" si="5"/>
        <v>1.8867692254086348E-17</v>
      </c>
      <c r="AD25" s="60" cm="1">
        <f t="array" ref="AD25">OptionTheta(Type,AA25,Sddeux,Tddeux,Iddeux,Vddeux,0)</f>
        <v>-1.1204595459788253E-18</v>
      </c>
      <c r="AE25" s="60">
        <f t="shared" si="6"/>
        <v>1.9020412143934564E-16</v>
      </c>
      <c r="AF25" s="61" cm="1">
        <f t="array" ref="AF25">OptionRho(Type,AA25,Sddeux,Tddeux,Iddeux,Vddeux,0)</f>
        <v>9.8530150586466726E-20</v>
      </c>
      <c r="AL25" s="39">
        <f t="shared" si="7"/>
        <v>8.7224108801140723</v>
      </c>
    </row>
    <row r="26" spans="1:38" x14ac:dyDescent="0.2">
      <c r="A26" s="65">
        <v>23</v>
      </c>
      <c r="B26" s="60">
        <f t="shared" si="0"/>
        <v>2.2626665490537305E-4</v>
      </c>
      <c r="C26" s="60">
        <f t="shared" si="1"/>
        <v>1.742948155789797E-4</v>
      </c>
      <c r="D26" s="60" cm="1">
        <f t="array" ref="D26">OptionTheta(Type,A26,Sd,Td,Id,Vd,0)</f>
        <v>-1.1096655412366173E-5</v>
      </c>
      <c r="E26" s="60">
        <f t="shared" si="8"/>
        <v>9.7936818579469637E-3</v>
      </c>
      <c r="F26" s="61" cm="1">
        <f t="array" ref="F26">OptionRho(Type,A26,Sd,Td,Id,Vd,0)</f>
        <v>2.4702214835989437E-5</v>
      </c>
      <c r="L26" s="39">
        <f t="shared" si="3"/>
        <v>3.8137982881992278</v>
      </c>
      <c r="AA26" s="65">
        <v>23</v>
      </c>
      <c r="AB26" s="60">
        <f t="shared" si="4"/>
        <v>2.3928650436996601E-16</v>
      </c>
      <c r="AC26" s="60">
        <f t="shared" si="5"/>
        <v>9.0326162403347945E-16</v>
      </c>
      <c r="AD26" s="60" cm="1">
        <f t="array" ref="AD26">OptionTheta(Type,AA26,Sddeux,Tddeux,Iddeux,Vddeux,0)</f>
        <v>-5.8611801196603855E-17</v>
      </c>
      <c r="AE26" s="60">
        <f t="shared" si="6"/>
        <v>1.0150912350307793E-14</v>
      </c>
      <c r="AF26" s="61" cm="1">
        <f t="array" ref="AF26">OptionRho(Type,AA26,Sddeux,Tddeux,Iddeux,Vddeux,0)</f>
        <v>5.4417761678284304E-18</v>
      </c>
      <c r="AL26" s="39">
        <f t="shared" si="7"/>
        <v>8.253848161004548</v>
      </c>
    </row>
    <row r="27" spans="1:38" x14ac:dyDescent="0.2">
      <c r="A27" s="65">
        <v>24</v>
      </c>
      <c r="B27" s="60">
        <f t="shared" si="0"/>
        <v>4.7191296087323894E-4</v>
      </c>
      <c r="C27" s="60">
        <f t="shared" si="1"/>
        <v>3.3087555136552242E-4</v>
      </c>
      <c r="D27" s="60" cm="1">
        <f t="array" ref="D27">OptionTheta(Type,A27,Sd,Td,Id,Vd,0)</f>
        <v>-2.2908963414913711E-5</v>
      </c>
      <c r="E27" s="60">
        <f t="shared" si="8"/>
        <v>2.0630410013336022E-2</v>
      </c>
      <c r="F27" s="61" cm="1">
        <f t="array" ref="F27">OptionRho(Type,A27,Sd,Td,Id,Vd,0)</f>
        <v>5.3630661237708305E-5</v>
      </c>
      <c r="L27" s="39">
        <f t="shared" si="3"/>
        <v>3.613170341797793</v>
      </c>
      <c r="AA27" s="65">
        <v>24</v>
      </c>
      <c r="AB27" s="60">
        <f t="shared" si="4"/>
        <v>8.7214468090020085E-15</v>
      </c>
      <c r="AC27" s="60">
        <f t="shared" si="5"/>
        <v>2.9856901239225182E-14</v>
      </c>
      <c r="AD27" s="60" cm="1">
        <f t="array" ref="AD27">OptionTheta(Type,AA27,Sddeux,Tddeux,Iddeux,Vddeux,0)</f>
        <v>-2.1089155167619184E-15</v>
      </c>
      <c r="AE27" s="60">
        <f t="shared" si="6"/>
        <v>3.7232132247355795E-13</v>
      </c>
      <c r="AF27" s="61" cm="1">
        <f t="array" ref="AF27">OptionRho(Type,AA27,Sddeux,Tddeux,Iddeux,Vddeux,0)</f>
        <v>2.0683582513081038E-16</v>
      </c>
      <c r="AL27" s="39">
        <f t="shared" si="7"/>
        <v>7.8052304346647556</v>
      </c>
    </row>
    <row r="28" spans="1:38" x14ac:dyDescent="0.2">
      <c r="A28" s="65">
        <v>25</v>
      </c>
      <c r="B28" s="60">
        <f t="shared" si="0"/>
        <v>9.2184495165037027E-4</v>
      </c>
      <c r="C28" s="60">
        <f t="shared" si="1"/>
        <v>5.8918837788269501E-4</v>
      </c>
      <c r="D28" s="60" cm="1">
        <f t="array" ref="D28">OptionTheta(Type,A28,Sd,Td,Id,Vd,0)</f>
        <v>-4.420686148069638E-5</v>
      </c>
      <c r="E28" s="60">
        <f t="shared" si="8"/>
        <v>4.0591428816661279E-2</v>
      </c>
      <c r="F28" s="61" cm="1">
        <f t="array" ref="F28">OptionRho(Type,A28,Sd,Td,Id,Vd,0)</f>
        <v>1.0885467187415505E-4</v>
      </c>
      <c r="L28" s="39">
        <f t="shared" si="3"/>
        <v>3.4207336141522422</v>
      </c>
      <c r="AA28" s="65">
        <v>25</v>
      </c>
      <c r="AB28" s="60">
        <f t="shared" si="4"/>
        <v>2.2784798539578458E-13</v>
      </c>
      <c r="AC28" s="60">
        <f t="shared" si="5"/>
        <v>7.0814746502756357E-13</v>
      </c>
      <c r="AD28" s="60" cm="1">
        <f t="array" ref="AD28">OptionTheta(Type,AA28,Sddeux,Tddeux,Iddeux,Vddeux,0)</f>
        <v>-5.425793630518735E-14</v>
      </c>
      <c r="AE28" s="60">
        <f t="shared" si="6"/>
        <v>9.7573945778301238E-12</v>
      </c>
      <c r="AF28" s="61" cm="1">
        <f t="array" ref="AF28">OptionRho(Type,AA28,Sddeux,Tddeux,Iddeux,Vddeux,0)</f>
        <v>5.6250351253420293E-15</v>
      </c>
      <c r="AL28" s="39">
        <f t="shared" si="7"/>
        <v>7.3749288302816911</v>
      </c>
    </row>
    <row r="29" spans="1:38" x14ac:dyDescent="0.2">
      <c r="A29" s="65">
        <v>26</v>
      </c>
      <c r="B29" s="60">
        <f t="shared" si="0"/>
        <v>1.6979080073392218E-3</v>
      </c>
      <c r="C29" s="60">
        <f t="shared" si="1"/>
        <v>9.9052450939990182E-4</v>
      </c>
      <c r="D29" s="60" cm="1">
        <f t="array" ref="D29">OptionTheta(Type,A29,Sd,Td,Id,Vd,0)</f>
        <v>-8.0273635974403764E-5</v>
      </c>
      <c r="E29" s="60">
        <f t="shared" si="8"/>
        <v>7.510735101223838E-2</v>
      </c>
      <c r="F29" s="61" cm="1">
        <f t="array" ref="F29">OptionRho(Type,A29,Sd,Td,Id,Vd,0)</f>
        <v>2.0796961132190842E-4</v>
      </c>
      <c r="L29" s="39">
        <f t="shared" si="3"/>
        <v>3.235845399261192</v>
      </c>
      <c r="AA29" s="65">
        <v>26</v>
      </c>
      <c r="AB29" s="60">
        <f t="shared" si="4"/>
        <v>4.4123971372411284E-12</v>
      </c>
      <c r="AC29" s="60">
        <f t="shared" si="5"/>
        <v>1.2460049272694384E-11</v>
      </c>
      <c r="AD29" s="60" cm="1">
        <f t="array" ref="AD29">OptionTheta(Type,AA29,Sddeux,Tddeux,Iddeux,Vddeux,0)</f>
        <v>-1.0322479692584045E-12</v>
      </c>
      <c r="AE29" s="60">
        <f t="shared" si="6"/>
        <v>1.8895873559373325E-10</v>
      </c>
      <c r="AF29" s="61" cm="1">
        <f t="array" ref="AF29">OptionRho(Type,AA29,Sddeux,Tddeux,Iddeux,Vddeux,0)</f>
        <v>1.1320950480227225E-13</v>
      </c>
      <c r="AL29" s="39">
        <f t="shared" si="7"/>
        <v>6.9615062135467136</v>
      </c>
    </row>
    <row r="30" spans="1:38" x14ac:dyDescent="0.2">
      <c r="A30" s="65">
        <v>27</v>
      </c>
      <c r="B30" s="60">
        <f t="shared" si="0"/>
        <v>2.9659440789755929E-3</v>
      </c>
      <c r="C30" s="60">
        <f t="shared" si="1"/>
        <v>1.5810469932563233E-3</v>
      </c>
      <c r="D30" s="60" cm="1">
        <f t="array" ref="D30">OptionTheta(Type,A30,Sd,Td,Id,Vd,0)</f>
        <v>-1.379762360827172E-4</v>
      </c>
      <c r="E30" s="60">
        <f t="shared" si="8"/>
        <v>0.13147024105625893</v>
      </c>
      <c r="F30" s="61" cm="1">
        <f t="array" ref="F30">OptionRho(Type,A30,Sd,Td,Id,Vd,0)</f>
        <v>3.7623011089547609E-4</v>
      </c>
      <c r="L30" s="39">
        <f t="shared" si="3"/>
        <v>3.0579357869886876</v>
      </c>
      <c r="AA30" s="65">
        <v>27</v>
      </c>
      <c r="AB30" s="60">
        <f t="shared" si="4"/>
        <v>6.5220691863463637E-11</v>
      </c>
      <c r="AC30" s="60">
        <f t="shared" si="5"/>
        <v>1.6742845823552333E-10</v>
      </c>
      <c r="AD30" s="60" cm="1">
        <f t="array" ref="AD30">OptionTheta(Type,AA30,Sddeux,Tddeux,Iddeux,Vddeux,0)</f>
        <v>-1.495277241003232E-11</v>
      </c>
      <c r="AE30" s="60">
        <f t="shared" si="6"/>
        <v>2.7844662249496607E-9</v>
      </c>
      <c r="AF30" s="61" cm="1">
        <f t="array" ref="AF30">OptionRho(Type,AA30,Sddeux,Tddeux,Iddeux,Vddeux,0)</f>
        <v>1.736432137727287E-12</v>
      </c>
      <c r="AL30" s="39">
        <f t="shared" si="7"/>
        <v>6.5636882266547634</v>
      </c>
    </row>
    <row r="31" spans="1:38" x14ac:dyDescent="0.2">
      <c r="A31" s="65">
        <v>28</v>
      </c>
      <c r="B31" s="60">
        <f t="shared" si="0"/>
        <v>4.9388124031615266E-3</v>
      </c>
      <c r="C31" s="60">
        <f t="shared" si="1"/>
        <v>2.4078676707278979E-3</v>
      </c>
      <c r="D31" s="60" cm="1">
        <f t="array" ref="D31">OptionTheta(Type,A31,Sd,Td,Id,Vd,0)</f>
        <v>-2.2563889473900989E-4</v>
      </c>
      <c r="E31" s="60">
        <f t="shared" si="8"/>
        <v>0.21883838697733432</v>
      </c>
      <c r="F31" s="61" cm="1">
        <f t="array" ref="F31">OptionRho(Type,A31,Sd,Td,Id,Vd,0)</f>
        <v>6.4784371088540908E-4</v>
      </c>
      <c r="L31" s="39">
        <f t="shared" si="3"/>
        <v>2.8864970682619879</v>
      </c>
      <c r="AA31" s="65">
        <v>28</v>
      </c>
      <c r="AB31" s="60">
        <f t="shared" si="4"/>
        <v>7.5493217046714678E-10</v>
      </c>
      <c r="AC31" s="60">
        <f t="shared" si="5"/>
        <v>1.7622739246465666E-9</v>
      </c>
      <c r="AD31" s="60" cm="1">
        <f t="array" ref="AD31">OptionTheta(Type,AA31,Sddeux,Tddeux,Iddeux,Vddeux,0)</f>
        <v>-1.6919585186587879E-10</v>
      </c>
      <c r="AE31" s="60">
        <f t="shared" si="6"/>
        <v>3.2032755601165307E-8</v>
      </c>
      <c r="AF31" s="61" cm="1">
        <f t="array" ref="AF31">OptionRho(Type,AA31,Sddeux,Tddeux,Iddeux,Vddeux,0)</f>
        <v>2.0826906524255089E-11</v>
      </c>
      <c r="AL31" s="39">
        <f t="shared" si="7"/>
        <v>6.1803395976063964</v>
      </c>
    </row>
    <row r="32" spans="1:38" x14ac:dyDescent="0.2">
      <c r="A32" s="65">
        <v>29</v>
      </c>
      <c r="B32" s="60">
        <f t="shared" si="0"/>
        <v>7.8749073699388369E-3</v>
      </c>
      <c r="C32" s="60">
        <f t="shared" si="1"/>
        <v>3.5140558182220195E-3</v>
      </c>
      <c r="D32" s="60" cm="1">
        <f t="array" ref="D32">OptionTheta(Type,A32,Sd,Td,Id,Vd,0)</f>
        <v>-3.5266479662568294E-4</v>
      </c>
      <c r="E32" s="60">
        <f t="shared" si="8"/>
        <v>0.34797880835483619</v>
      </c>
      <c r="F32" s="61" cm="1">
        <f t="array" ref="F32">OptionRho(Type,A32,Sd,Td,Id,Vd,0)</f>
        <v>1.0666979180595083E-3</v>
      </c>
      <c r="L32" s="39">
        <f t="shared" si="3"/>
        <v>2.721075000266421</v>
      </c>
      <c r="AA32" s="65">
        <v>29</v>
      </c>
      <c r="AB32" s="60">
        <f t="shared" si="4"/>
        <v>6.9990276068204524E-9</v>
      </c>
      <c r="AC32" s="60">
        <f t="shared" si="5"/>
        <v>1.4857305425663896E-8</v>
      </c>
      <c r="AD32" s="60" cm="1">
        <f t="array" ref="AD32">OptionTheta(Type,AA32,Sddeux,Tddeux,Iddeux,Vddeux,0)</f>
        <v>-1.52953017070822E-9</v>
      </c>
      <c r="AE32" s="60">
        <f t="shared" si="6"/>
        <v>2.9424845277513454E-7</v>
      </c>
      <c r="AF32" s="61" cm="1">
        <f t="array" ref="AF32">OptionRho(Type,AA32,Sddeux,Tddeux,Iddeux,Vddeux,0)</f>
        <v>1.998105762874875E-10</v>
      </c>
      <c r="AL32" s="39">
        <f t="shared" si="7"/>
        <v>5.8104446085897168</v>
      </c>
    </row>
    <row r="33" spans="1:38" x14ac:dyDescent="0.2">
      <c r="A33" s="65">
        <v>30</v>
      </c>
      <c r="B33" s="60">
        <f t="shared" si="0"/>
        <v>1.2071416312262294E-2</v>
      </c>
      <c r="C33" s="60">
        <f t="shared" si="1"/>
        <v>4.9332333326439666E-3</v>
      </c>
      <c r="D33" s="60" cm="1">
        <f t="array" ref="D33">OptionTheta(Type,A33,Sd,Td,Id,Vd,0)</f>
        <v>-5.2890644731907999E-4</v>
      </c>
      <c r="E33" s="60">
        <f t="shared" si="8"/>
        <v>0.53072064438125965</v>
      </c>
      <c r="F33" s="61" cm="1">
        <f t="array" ref="F33">OptionRho(Type,A33,Sd,Td,Id,Vd,0)</f>
        <v>1.6862741751541041E-3</v>
      </c>
      <c r="L33" s="39">
        <f t="shared" si="3"/>
        <v>2.5612615530489524</v>
      </c>
      <c r="AA33" s="65">
        <v>30</v>
      </c>
      <c r="AB33" s="60">
        <f t="shared" si="4"/>
        <v>5.3019434881300088E-8</v>
      </c>
      <c r="AC33" s="60">
        <f t="shared" si="5"/>
        <v>1.0232504390014957E-7</v>
      </c>
      <c r="AD33" s="60" cm="1">
        <f t="array" ref="AD33">OptionTheta(Type,AA33,Sddeux,Tddeux,Iddeux,Vddeux,0)</f>
        <v>-1.1268156933048715E-8</v>
      </c>
      <c r="AE33" s="60">
        <f t="shared" si="6"/>
        <v>2.2016397592904113E-6</v>
      </c>
      <c r="AF33" s="61" cm="1">
        <f t="array" ref="AF33">OptionRho(Type,AA33,Sddeux,Tddeux,Iddeux,Vddeux,0)</f>
        <v>1.5643498696637988E-9</v>
      </c>
      <c r="AL33" s="39">
        <f t="shared" si="7"/>
        <v>5.4530908768928814</v>
      </c>
    </row>
    <row r="34" spans="1:38" x14ac:dyDescent="0.2">
      <c r="A34" s="65">
        <v>31</v>
      </c>
      <c r="B34" s="60">
        <f t="shared" si="0"/>
        <v>1.7852288678875654E-2</v>
      </c>
      <c r="C34" s="60">
        <f t="shared" si="1"/>
        <v>6.6845339498615352E-3</v>
      </c>
      <c r="D34" s="60" cm="1">
        <f t="array" ref="D34">OptionTheta(Type,A34,Sd,Td,Id,Vd,0)</f>
        <v>-7.638310219447111E-4</v>
      </c>
      <c r="E34" s="60">
        <f t="shared" si="8"/>
        <v>0.77913985439507227</v>
      </c>
      <c r="F34" s="61" cm="1">
        <f t="array" ref="F34">OptionRho(Type,A34,Sd,Td,Id,Vd,0)</f>
        <v>2.5685869129856357E-3</v>
      </c>
      <c r="L34" s="39">
        <f t="shared" si="3"/>
        <v>2.4066888459020035</v>
      </c>
      <c r="AA34" s="65">
        <v>31</v>
      </c>
      <c r="AB34" s="60">
        <f t="shared" si="4"/>
        <v>3.3403363027972286E-7</v>
      </c>
      <c r="AC34" s="60">
        <f t="shared" si="5"/>
        <v>5.8584148624297447E-7</v>
      </c>
      <c r="AD34" s="60" cm="1">
        <f t="array" ref="AD34">OptionTheta(Type,AA34,Sddeux,Tddeux,Iddeux,Vddeux,0)</f>
        <v>-6.885269900508693E-8</v>
      </c>
      <c r="AE34" s="60">
        <f t="shared" si="6"/>
        <v>1.365697156192615E-5</v>
      </c>
      <c r="AF34" s="61" cm="1">
        <f t="array" ref="AF34">OptionRho(Type,AA34,Sddeux,Tddeux,Iddeux,Vddeux,0)</f>
        <v>1.0173996786034949E-8</v>
      </c>
      <c r="AL34" s="39">
        <f t="shared" si="7"/>
        <v>5.1074557962461364</v>
      </c>
    </row>
    <row r="35" spans="1:38" x14ac:dyDescent="0.2">
      <c r="A35" s="65">
        <v>32</v>
      </c>
      <c r="B35" s="60">
        <f t="shared" si="0"/>
        <v>2.5551662398754581E-2</v>
      </c>
      <c r="C35" s="60">
        <f t="shared" si="1"/>
        <v>8.7686721769806748E-3</v>
      </c>
      <c r="D35" s="60" cm="1">
        <f t="array" ref="D35">OptionTheta(Type,A35,Sd,Td,Id,Vd,0)</f>
        <v>-1.0655670868565813E-3</v>
      </c>
      <c r="E35" s="60">
        <f t="shared" si="8"/>
        <v>1.1045434786707948</v>
      </c>
      <c r="F35" s="61" cm="1">
        <f t="array" ref="F35">OptionRho(Type,A35,Sd,Td,Id,Vd,0)</f>
        <v>3.7821068031543208E-3</v>
      </c>
      <c r="L35" s="39">
        <f t="shared" si="3"/>
        <v>2.2570240467547662</v>
      </c>
      <c r="AA35" s="65">
        <v>32</v>
      </c>
      <c r="AB35" s="60">
        <f t="shared" si="4"/>
        <v>1.7781153567347862E-6</v>
      </c>
      <c r="AC35" s="60">
        <f t="shared" si="5"/>
        <v>2.8319109046085649E-6</v>
      </c>
      <c r="AD35" s="60" cm="1">
        <f t="array" ref="AD35">OptionTheta(Type,AA35,Sddeux,Tddeux,Iddeux,Vddeux,0)</f>
        <v>-3.5445911685877937E-7</v>
      </c>
      <c r="AE35" s="60">
        <f t="shared" si="6"/>
        <v>7.1344182077500267E-5</v>
      </c>
      <c r="AF35" s="61" cm="1">
        <f t="array" ref="AF35">OptionRho(Type,AA35,Sddeux,Tddeux,Iddeux,Vddeux,0)</f>
        <v>5.5843841545409874E-8</v>
      </c>
      <c r="AL35" s="39">
        <f t="shared" si="7"/>
        <v>4.7727951315140613</v>
      </c>
    </row>
    <row r="36" spans="1:38" x14ac:dyDescent="0.2">
      <c r="A36" s="65">
        <v>33</v>
      </c>
      <c r="B36" s="60">
        <f t="shared" ref="B36:B67" si="9">OptionDelta(Type,A36,Sd,Td,Id,Vd,0)</f>
        <v>3.5494163808787768E-2</v>
      </c>
      <c r="C36" s="60">
        <f t="shared" ref="C36:C67" si="10">OptionGamma(A36,Sd,Td,Id,Vd,0)</f>
        <v>1.1165697476145948E-2</v>
      </c>
      <c r="D36" s="60" cm="1">
        <f t="array" ref="D36">OptionTheta(Type,A36,Sd,Td,Id,Vd,0)</f>
        <v>-1.439945083580171E-3</v>
      </c>
      <c r="E36" s="60">
        <f t="shared" si="8"/>
        <v>1.5163599326473802</v>
      </c>
      <c r="F36" s="61" cm="1">
        <f t="array" ref="F36">OptionRho(Type,A36,Sd,Td,Id,Vd,0)</f>
        <v>5.3987623279424289E-3</v>
      </c>
      <c r="L36" s="39">
        <f t="shared" ref="L36:L67" si="11">(LN(Sd/A36)+(Id+(Vd^2)/2)*Td)/(Vd*SQRT(Td))</f>
        <v>2.1119650566773038</v>
      </c>
      <c r="AA36" s="65">
        <v>33</v>
      </c>
      <c r="AB36" s="60">
        <f t="shared" ref="AB36:AB67" si="12">OptionDelta(Type,AA36,Sddeux,Tddeux,Iddeux,Vddeux,0)</f>
        <v>8.1111578175019552E-6</v>
      </c>
      <c r="AC36" s="60">
        <f t="shared" ref="AC36:AC67" si="13">OptionGamma(AA36,Sddeux,Tddeux,Iddeux,Vddeux,0)</f>
        <v>1.1719323606393727E-5</v>
      </c>
      <c r="AD36" s="60" cm="1">
        <f t="array" ref="AD36">OptionTheta(Type,AA36,Sddeux,Tddeux,Iddeux,Vddeux,0)</f>
        <v>-1.5590620772372213E-6</v>
      </c>
      <c r="AE36" s="60">
        <f t="shared" ref="AE36:AE67" si="14">Sd*SQRT(Tddeux)*_xlfn.NORM.S.DIST(AL36,FALSE)</f>
        <v>3.1830904952294913E-4</v>
      </c>
      <c r="AF36" s="61" cm="1">
        <f t="array" ref="AF36">OptionRho(Type,AA36,Sddeux,Tddeux,Iddeux,Vddeux,0)</f>
        <v>2.6238975698694566E-7</v>
      </c>
      <c r="AL36" s="39">
        <f t="shared" ref="AL36:AL67" si="15">(LN(Sddeux/AA36)+(Iddeux+(Vddeux^2)/2)*Tddeux)/(Vddeux*SQRT(Tddeux))</f>
        <v>4.4484333689533884</v>
      </c>
    </row>
    <row r="37" spans="1:38" x14ac:dyDescent="0.2">
      <c r="A37" s="65">
        <v>34</v>
      </c>
      <c r="B37" s="60">
        <f t="shared" si="9"/>
        <v>4.7973947087028651E-2</v>
      </c>
      <c r="C37" s="60">
        <f t="shared" si="10"/>
        <v>1.3834746725630296E-2</v>
      </c>
      <c r="D37" s="60" cm="1">
        <f t="array" ref="D37">OptionTheta(Type,A37,Sd,Td,Id,Vd,0)</f>
        <v>-1.8896508779893111E-3</v>
      </c>
      <c r="E37" s="60">
        <f t="shared" si="8"/>
        <v>2.0210628666112895</v>
      </c>
      <c r="F37" s="61" cm="1">
        <f t="array" ref="F37">OptionRho(Type,A37,Sd,Td,Id,Vd,0)</f>
        <v>7.4902385502973118E-3</v>
      </c>
      <c r="L37" s="39">
        <f t="shared" si="11"/>
        <v>1.9712368387996264</v>
      </c>
      <c r="AA37" s="65">
        <v>34</v>
      </c>
      <c r="AB37" s="60">
        <f t="shared" si="12"/>
        <v>3.2112625149914847E-5</v>
      </c>
      <c r="AC37" s="60">
        <f t="shared" si="13"/>
        <v>4.2038151760761841E-5</v>
      </c>
      <c r="AD37" s="60" cm="1">
        <f t="array" ref="AD37">OptionTheta(Type,AA37,Sddeux,Tddeux,Iddeux,Vddeux,0)</f>
        <v>-5.9327296989178694E-6</v>
      </c>
      <c r="AE37" s="60">
        <f t="shared" si="14"/>
        <v>1.2282371219307514E-3</v>
      </c>
      <c r="AF37" s="61" cm="1">
        <f t="array" ref="AF37">OptionRho(Type,AA37,Sddeux,Tddeux,Iddeux,Vddeux,0)</f>
        <v>1.0689157244904009E-6</v>
      </c>
      <c r="AL37" s="39">
        <f t="shared" si="15"/>
        <v>4.1337555074265007</v>
      </c>
    </row>
    <row r="38" spans="1:38" x14ac:dyDescent="0.2">
      <c r="A38" s="65">
        <v>35</v>
      </c>
      <c r="B38" s="60">
        <f t="shared" si="9"/>
        <v>6.3234504740702246E-2</v>
      </c>
      <c r="C38" s="60">
        <f t="shared" si="10"/>
        <v>1.6715812746571711E-2</v>
      </c>
      <c r="D38" s="60" cm="1">
        <f t="array" ref="D38">OptionTheta(Type,A38,Sd,Td,Id,Vd,0)</f>
        <v>-2.4135989993990105E-3</v>
      </c>
      <c r="E38" s="60">
        <f t="shared" si="8"/>
        <v>2.6212565558750316</v>
      </c>
      <c r="F38" s="61" cm="1">
        <f t="array" ref="F38">OptionRho(Type,A38,Sd,Td,Id,Vd,0)</f>
        <v>1.0123885718531643E-2</v>
      </c>
      <c r="L38" s="39">
        <f t="shared" si="11"/>
        <v>1.8345882795131478</v>
      </c>
      <c r="AA38" s="65">
        <v>35</v>
      </c>
      <c r="AB38" s="60">
        <f t="shared" si="12"/>
        <v>1.1161331169993837E-4</v>
      </c>
      <c r="AC38" s="60">
        <f t="shared" si="13"/>
        <v>1.3217524858465658E-4</v>
      </c>
      <c r="AD38" s="60" cm="1">
        <f t="array" ref="AD38">OptionTheta(Type,AA38,Sddeux,Tddeux,Iddeux,Vddeux,0)</f>
        <v>-1.9752818751152054E-5</v>
      </c>
      <c r="AE38" s="60">
        <f t="shared" si="14"/>
        <v>4.145359153392059E-3</v>
      </c>
      <c r="AF38" s="61" cm="1">
        <f t="array" ref="AF38">OptionRho(Type,AA38,Sddeux,Tddeux,Iddeux,Vddeux,0)</f>
        <v>3.8190867029346473E-6</v>
      </c>
      <c r="AL38" s="39">
        <f t="shared" si="15"/>
        <v>3.8282000398345235</v>
      </c>
    </row>
    <row r="39" spans="1:38" x14ac:dyDescent="0.2">
      <c r="A39" s="65">
        <v>36</v>
      </c>
      <c r="B39" s="60">
        <f t="shared" si="9"/>
        <v>8.1451158963543199E-2</v>
      </c>
      <c r="C39" s="60">
        <f t="shared" si="10"/>
        <v>1.9733275825989313E-2</v>
      </c>
      <c r="D39" s="60" cm="1">
        <f t="array" ref="D39">OptionTheta(Type,A39,Sd,Td,Id,Vd,0)</f>
        <v>-3.0066034171986875E-3</v>
      </c>
      <c r="E39" s="60">
        <f t="shared" si="8"/>
        <v>3.3150315617923245</v>
      </c>
      <c r="F39" s="61" cm="1">
        <f t="array" ref="F39">OptionRho(Type,A39,Sd,Td,Id,Vd,0)</f>
        <v>1.3358599723543894E-2</v>
      </c>
      <c r="L39" s="39">
        <f t="shared" si="11"/>
        <v>1.7017894919456615</v>
      </c>
      <c r="AA39" s="65">
        <v>36</v>
      </c>
      <c r="AB39" s="60">
        <f t="shared" si="12"/>
        <v>3.4412077553724966E-4</v>
      </c>
      <c r="AC39" s="60">
        <f t="shared" si="13"/>
        <v>3.6795134205995869E-4</v>
      </c>
      <c r="AD39" s="60" cm="1">
        <f t="array" ref="AD39">OptionTheta(Type,AA39,Sddeux,Tddeux,Iddeux,Vddeux,0)</f>
        <v>-5.8128963781021546E-5</v>
      </c>
      <c r="AE39" s="60">
        <f t="shared" si="14"/>
        <v>1.236257297459081E-2</v>
      </c>
      <c r="AF39" s="61" cm="1">
        <f t="array" ref="AF39">OptionRho(Type,AA39,Sddeux,Tddeux,Iddeux,Vddeux,0)</f>
        <v>1.2092524443196194E-5</v>
      </c>
      <c r="AL39" s="39">
        <f t="shared" si="15"/>
        <v>3.5312529235040708</v>
      </c>
    </row>
    <row r="40" spans="1:38" x14ac:dyDescent="0.2">
      <c r="A40" s="65">
        <v>37</v>
      </c>
      <c r="B40" s="60">
        <f t="shared" si="9"/>
        <v>0.10271778185647695</v>
      </c>
      <c r="C40" s="60">
        <f t="shared" si="10"/>
        <v>2.2800741364345428E-2</v>
      </c>
      <c r="D40" s="60" cm="1">
        <f t="array" ref="D40">OptionTheta(Type,A40,Sd,Td,Id,Vd,0)</f>
        <v>-3.6593849949049803E-3</v>
      </c>
      <c r="E40" s="60">
        <f t="shared" si="8"/>
        <v>4.0956651223269862</v>
      </c>
      <c r="F40" s="61" cm="1">
        <f t="array" ref="F40">OptionRho(Type,A40,Sd,Td,Id,Vd,0)</f>
        <v>1.7241037152545484E-2</v>
      </c>
      <c r="L40" s="39">
        <f t="shared" si="11"/>
        <v>1.5726294889725221</v>
      </c>
      <c r="AA40" s="65">
        <v>37</v>
      </c>
      <c r="AB40" s="60">
        <f t="shared" si="12"/>
        <v>9.5007607518324906E-4</v>
      </c>
      <c r="AC40" s="60">
        <f t="shared" si="13"/>
        <v>9.1519097349847104E-4</v>
      </c>
      <c r="AD40" s="60" cm="1">
        <f t="array" ref="AD40">OptionTheta(Type,AA40,Sddeux,Tddeux,Iddeux,Vddeux,0)</f>
        <v>-1.5258969218942786E-4</v>
      </c>
      <c r="AE40" s="60">
        <f t="shared" si="14"/>
        <v>3.2878893633586689E-2</v>
      </c>
      <c r="AF40" s="61" cm="1">
        <f t="array" ref="AF40">OptionRho(Type,AA40,Sddeux,Tddeux,Iddeux,Vddeux,0)</f>
        <v>3.4255113661606721E-5</v>
      </c>
      <c r="AL40" s="39">
        <f t="shared" si="15"/>
        <v>3.2424423768820563</v>
      </c>
    </row>
    <row r="41" spans="1:38" x14ac:dyDescent="0.2">
      <c r="A41" s="65">
        <v>38</v>
      </c>
      <c r="B41" s="60">
        <f t="shared" si="9"/>
        <v>0.12703877067408278</v>
      </c>
      <c r="C41" s="60">
        <f t="shared" si="10"/>
        <v>2.582661256348669E-2</v>
      </c>
      <c r="D41" s="60" cm="1">
        <f t="array" ref="D41">OptionTheta(Type,A41,Sd,Td,Id,Vd,0)</f>
        <v>-4.3589132835264929E-3</v>
      </c>
      <c r="E41" s="60">
        <f t="shared" si="8"/>
        <v>4.9516981540512903</v>
      </c>
      <c r="F41" s="61" cm="1">
        <f t="array" ref="F41">OptionRho(Type,A41,Sd,Td,Id,Vd,0)</f>
        <v>2.1802483972048821E-2</v>
      </c>
      <c r="L41" s="39">
        <f t="shared" si="11"/>
        <v>1.446914166611492</v>
      </c>
      <c r="AA41" s="65">
        <v>38</v>
      </c>
      <c r="AB41" s="60">
        <f t="shared" si="12"/>
        <v>2.3691832333515607E-3</v>
      </c>
      <c r="AC41" s="60">
        <f t="shared" si="13"/>
        <v>2.0506444051477195E-3</v>
      </c>
      <c r="AD41" s="60" cm="1">
        <f t="array" ref="AD41">OptionTheta(Type,AA41,Sddeux,Tddeux,Iddeux,Vddeux,0)</f>
        <v>-3.6027276573448116E-4</v>
      </c>
      <c r="AE41" s="60">
        <f t="shared" si="14"/>
        <v>7.8633402585218462E-2</v>
      </c>
      <c r="AF41" s="61" cm="1">
        <f t="array" ref="AF41">OptionRho(Type,AA41,Sddeux,Tddeux,Iddeux,Vddeux,0)</f>
        <v>8.7565697670658881E-5</v>
      </c>
      <c r="AL41" s="39">
        <f t="shared" si="15"/>
        <v>2.9613343702694928</v>
      </c>
    </row>
    <row r="42" spans="1:38" x14ac:dyDescent="0.2">
      <c r="A42" s="65">
        <v>39</v>
      </c>
      <c r="B42" s="60">
        <f t="shared" si="9"/>
        <v>0.15432671480064075</v>
      </c>
      <c r="C42" s="60">
        <f t="shared" si="10"/>
        <v>2.8719804958859056E-2</v>
      </c>
      <c r="D42" s="60" cm="1">
        <f t="array" ref="D42">OptionTheta(Type,A42,Sd,Td,Id,Vd,0)</f>
        <v>-5.0890426662315059E-3</v>
      </c>
      <c r="E42" s="60">
        <f t="shared" si="8"/>
        <v>5.8673771468658016</v>
      </c>
      <c r="F42" s="61" cm="1">
        <f t="array" ref="F42">OptionRho(Type,A42,Sd,Td,Id,Vd,0)</f>
        <v>2.7056619308652056E-2</v>
      </c>
      <c r="L42" s="39">
        <f t="shared" si="11"/>
        <v>1.3244645494090614</v>
      </c>
      <c r="AA42" s="65">
        <v>39</v>
      </c>
      <c r="AB42" s="60">
        <f t="shared" si="12"/>
        <v>5.3784775773212425E-3</v>
      </c>
      <c r="AC42" s="60">
        <f t="shared" si="13"/>
        <v>4.170366065687027E-3</v>
      </c>
      <c r="AD42" s="60" cm="1">
        <f t="array" ref="AD42">OptionTheta(Type,AA42,Sddeux,Tddeux,Iddeux,Vddeux,0)</f>
        <v>-7.7087319295358436E-4</v>
      </c>
      <c r="AE42" s="60">
        <f t="shared" si="14"/>
        <v>0.17039886296531945</v>
      </c>
      <c r="AF42" s="61" cm="1">
        <f t="array" ref="AF42">OptionRho(Type,AA42,Sddeux,Tddeux,Iddeux,Vddeux,0)</f>
        <v>2.035994968945098E-4</v>
      </c>
      <c r="AL42" s="39">
        <f t="shared" si="15"/>
        <v>2.6875287023860306</v>
      </c>
    </row>
    <row r="43" spans="1:38" x14ac:dyDescent="0.2">
      <c r="A43" s="65">
        <v>40</v>
      </c>
      <c r="B43" s="60">
        <f t="shared" si="9"/>
        <v>0.18440562060698273</v>
      </c>
      <c r="C43" s="60">
        <f t="shared" si="10"/>
        <v>3.1395066311754996E-2</v>
      </c>
      <c r="D43" s="60" cm="1">
        <f t="array" ref="D43">OptionTheta(Type,A43,Sd,Td,Id,Vd,0)</f>
        <v>-5.8313739746974434E-3</v>
      </c>
      <c r="E43" s="60">
        <f t="shared" si="8"/>
        <v>6.823410972384675</v>
      </c>
      <c r="F43" s="61" cm="1">
        <f t="array" ref="F43">OptionRho(Type,A43,Sd,Td,Id,Vd,0)</f>
        <v>3.2998318420448057E-2</v>
      </c>
      <c r="L43" s="39">
        <f t="shared" si="11"/>
        <v>1.2051152580059259</v>
      </c>
      <c r="AA43" s="65">
        <v>40</v>
      </c>
      <c r="AB43" s="60">
        <f t="shared" si="12"/>
        <v>1.1196832502197688E-2</v>
      </c>
      <c r="AC43" s="60">
        <f t="shared" si="13"/>
        <v>7.7503220872848968E-3</v>
      </c>
      <c r="AD43" s="60" cm="1">
        <f t="array" ref="AD43">OptionTheta(Type,AA43,Sddeux,Tddeux,Iddeux,Vddeux,0)</f>
        <v>-1.5050650587447388E-3</v>
      </c>
      <c r="AE43" s="60">
        <f t="shared" si="14"/>
        <v>0.3368913589463845</v>
      </c>
      <c r="AF43" s="61" cm="1">
        <f t="array" ref="AF43">OptionRho(Type,AA43,Sddeux,Tddeux,Iddeux,Vddeux,0)</f>
        <v>4.3372219213414268E-4</v>
      </c>
      <c r="AL43" s="39">
        <f t="shared" si="15"/>
        <v>2.4206555737421884</v>
      </c>
    </row>
    <row r="44" spans="1:38" x14ac:dyDescent="0.2">
      <c r="A44" s="65">
        <v>41</v>
      </c>
      <c r="B44" s="60">
        <f t="shared" si="9"/>
        <v>0.21701907661461509</v>
      </c>
      <c r="C44" s="60">
        <f t="shared" si="10"/>
        <v>3.3777478058186206E-2</v>
      </c>
      <c r="D44" s="60" cm="1">
        <f t="array" ref="D44">OptionTheta(Type,A44,Sd,Td,Id,Vd,0)</f>
        <v>-6.5662552938939509E-3</v>
      </c>
      <c r="E44" s="60">
        <f t="shared" si="8"/>
        <v>7.7979642269352372</v>
      </c>
      <c r="F44" s="61" cm="1">
        <f t="array" ref="F44">OptionRho(Type,A44,Sd,Td,Id,Vd,0)</f>
        <v>3.9603536360050789E-2</v>
      </c>
      <c r="L44" s="39">
        <f t="shared" si="11"/>
        <v>1.0887131659534988</v>
      </c>
      <c r="AA44" s="65">
        <v>41</v>
      </c>
      <c r="AB44" s="60">
        <f t="shared" si="12"/>
        <v>2.1519024387679987E-2</v>
      </c>
      <c r="AC44" s="60">
        <f t="shared" si="13"/>
        <v>1.3244157830304533E-2</v>
      </c>
      <c r="AD44" s="60" cm="1">
        <f t="array" ref="AD44">OptionTheta(Type,AA44,Sddeux,Tddeux,Iddeux,Vddeux,0)</f>
        <v>-2.6981089085712571E-3</v>
      </c>
      <c r="AE44" s="60">
        <f t="shared" si="14"/>
        <v>0.61151675562450181</v>
      </c>
      <c r="AF44" s="61" cm="1">
        <f t="array" ref="AF44">OptionRho(Type,AA44,Sddeux,Tddeux,Iddeux,Vddeux,0)</f>
        <v>8.5222837224387376E-4</v>
      </c>
      <c r="AL44" s="39">
        <f t="shared" si="15"/>
        <v>2.1603725831897735</v>
      </c>
    </row>
    <row r="45" spans="1:38" x14ac:dyDescent="0.2">
      <c r="A45" s="65">
        <v>42</v>
      </c>
      <c r="B45" s="60">
        <f t="shared" si="9"/>
        <v>0.25184238743047926</v>
      </c>
      <c r="C45" s="60">
        <f t="shared" si="10"/>
        <v>3.5805857016160583E-2</v>
      </c>
      <c r="D45" s="60" cm="1">
        <f t="array" ref="D45">OptionTheta(Type,A45,Sd,Td,Id,Vd,0)</f>
        <v>-7.2738302866667617E-3</v>
      </c>
      <c r="E45" s="60">
        <f t="shared" si="8"/>
        <v>8.7677924817375263</v>
      </c>
      <c r="F45" s="61" cm="1">
        <f t="array" ref="F45">OptionRho(Type,A45,Sd,Td,Id,Vd,0)</f>
        <v>4.6830218827364677E-2</v>
      </c>
      <c r="L45" s="39">
        <f t="shared" si="11"/>
        <v>0.97511621840985707</v>
      </c>
      <c r="AA45" s="65">
        <v>42</v>
      </c>
      <c r="AB45" s="60">
        <f t="shared" si="12"/>
        <v>3.8419405351571755E-2</v>
      </c>
      <c r="AC45" s="60">
        <f t="shared" si="13"/>
        <v>2.0929257437109744E-2</v>
      </c>
      <c r="AD45" s="60" cm="1">
        <f t="array" ref="AD45">OptionTheta(Type,AA45,Sddeux,Tddeux,Iddeux,Vddeux,0)</f>
        <v>-4.4665198955080683E-3</v>
      </c>
      <c r="AE45" s="60">
        <f t="shared" si="14"/>
        <v>1.0249908886281809</v>
      </c>
      <c r="AF45" s="61" cm="1">
        <f t="array" ref="AF45">OptionRho(Type,AA45,Sddeux,Tddeux,Iddeux,Vddeux,0)</f>
        <v>1.5542346748663202E-3</v>
      </c>
      <c r="AL45" s="39">
        <f t="shared" si="15"/>
        <v>1.9063620864457129</v>
      </c>
    </row>
    <row r="46" spans="1:38" x14ac:dyDescent="0.2">
      <c r="A46" s="65">
        <v>43</v>
      </c>
      <c r="B46" s="60">
        <f t="shared" si="9"/>
        <v>0.28849749804993263</v>
      </c>
      <c r="C46" s="60">
        <f t="shared" si="10"/>
        <v>3.7434924038431773E-2</v>
      </c>
      <c r="D46" s="60" cm="1">
        <f t="array" ref="D46">OptionTheta(Type,A46,Sd,Td,Id,Vd,0)</f>
        <v>-7.9350477243306707E-3</v>
      </c>
      <c r="E46" s="60">
        <f t="shared" si="8"/>
        <v>9.7094208769421524</v>
      </c>
      <c r="F46" s="61" cm="1">
        <f t="array" ref="F46">OptionRho(Type,A46,Sd,Td,Id,Vd,0)</f>
        <v>5.4620108809255025E-2</v>
      </c>
      <c r="L46" s="39">
        <f t="shared" si="11"/>
        <v>0.86419238985358571</v>
      </c>
      <c r="AA46" s="65">
        <v>43</v>
      </c>
      <c r="AB46" s="60">
        <f t="shared" si="12"/>
        <v>6.4092682263039477E-2</v>
      </c>
      <c r="AC46" s="60">
        <f t="shared" si="13"/>
        <v>3.0744464231511736E-2</v>
      </c>
      <c r="AD46" s="60" cm="1">
        <f t="array" ref="AD46">OptionTheta(Type,AA46,Sddeux,Tddeux,Iddeux,Vddeux,0)</f>
        <v>-6.8634788897293927E-3</v>
      </c>
      <c r="AE46" s="60">
        <f t="shared" si="14"/>
        <v>1.594825957458234</v>
      </c>
      <c r="AF46" s="61" cm="1">
        <f t="array" ref="AF46">OptionRho(Type,AA46,Sddeux,Tddeux,Iddeux,Vddeux,0)</f>
        <v>2.6461675815852696E-3</v>
      </c>
      <c r="AL46" s="39">
        <f t="shared" si="15"/>
        <v>1.6583288654693578</v>
      </c>
    </row>
    <row r="47" spans="1:38" x14ac:dyDescent="0.2">
      <c r="A47" s="65">
        <v>44</v>
      </c>
      <c r="B47" s="60">
        <f t="shared" si="9"/>
        <v>0.32656946570213696</v>
      </c>
      <c r="C47" s="60">
        <f t="shared" si="10"/>
        <v>3.8636240518384581E-2</v>
      </c>
      <c r="D47" s="60" cm="1">
        <f t="array" ref="D47">OptionTheta(Type,A47,Sd,Td,Id,Vd,0)</f>
        <v>-8.5325595187648907E-3</v>
      </c>
      <c r="E47" s="60">
        <f t="shared" si="8"/>
        <v>10.600274337976703</v>
      </c>
      <c r="F47" s="61" cm="1">
        <f t="array" ref="F47">OptionRho(Type,A47,Sd,Td,Id,Vd,0)</f>
        <v>6.2901262403119815E-2</v>
      </c>
      <c r="L47" s="39">
        <f t="shared" si="11"/>
        <v>0.75581876163427786</v>
      </c>
      <c r="AA47" s="65">
        <v>44</v>
      </c>
      <c r="AB47" s="60">
        <f t="shared" si="12"/>
        <v>0.10045450858093402</v>
      </c>
      <c r="AC47" s="60">
        <f t="shared" si="13"/>
        <v>4.2182920211730042E-2</v>
      </c>
      <c r="AD47" s="60" cm="1">
        <f t="array" ref="AD47">OptionTheta(Type,AA47,Sddeux,Tddeux,Iddeux,Vddeux,0)</f>
        <v>-9.8367089793445894E-3</v>
      </c>
      <c r="AE47" s="60">
        <f t="shared" si="14"/>
        <v>2.3146689254538066</v>
      </c>
      <c r="AF47" s="61" cm="1">
        <f t="array" ref="AF47">OptionRho(Type,AA47,Sddeux,Tddeux,Iddeux,Vddeux,0)</f>
        <v>4.2288615692572954E-3</v>
      </c>
      <c r="AL47" s="39">
        <f t="shared" si="15"/>
        <v>1.415998065802696</v>
      </c>
    </row>
    <row r="48" spans="1:38" x14ac:dyDescent="0.2">
      <c r="A48" s="65">
        <v>45</v>
      </c>
      <c r="B48" s="60">
        <f t="shared" si="9"/>
        <v>0.3656232937658952</v>
      </c>
      <c r="C48" s="60">
        <f t="shared" si="10"/>
        <v>3.9398021445552309E-2</v>
      </c>
      <c r="D48" s="60" cm="1">
        <f t="array" ref="D48">OptionTheta(Type,A48,Sd,Td,Id,Vd,0)</f>
        <v>-9.0514533646887142E-3</v>
      </c>
      <c r="E48" s="60">
        <f t="shared" si="8"/>
        <v>11.419682682827984</v>
      </c>
      <c r="F48" s="61" cm="1">
        <f t="array" ref="F48">OptionRho(Type,A48,Sd,Td,Id,Vd,0)</f>
        <v>7.1591056528643254E-2</v>
      </c>
      <c r="L48" s="39">
        <f t="shared" si="11"/>
        <v>0.64988070319682156</v>
      </c>
      <c r="AA48" s="65">
        <v>45</v>
      </c>
      <c r="AB48" s="60">
        <f t="shared" si="12"/>
        <v>0.14868698597200994</v>
      </c>
      <c r="AC48" s="60">
        <f t="shared" si="13"/>
        <v>5.4296124572011682E-2</v>
      </c>
      <c r="AD48" s="60" cm="1">
        <f t="array" ref="AD48">OptionTheta(Type,AA48,Sddeux,Tddeux,Iddeux,Vddeux,0)</f>
        <v>-1.3206054770117052E-2</v>
      </c>
      <c r="AE48" s="60">
        <f t="shared" si="14"/>
        <v>3.1475921417859416</v>
      </c>
      <c r="AF48" s="61" cm="1">
        <f t="array" ref="AF48">OptionRho(Type,AA48,Sddeux,Tddeux,Iddeux,Vddeux,0)</f>
        <v>6.3762180265920726E-3</v>
      </c>
      <c r="AL48" s="39">
        <f t="shared" si="15"/>
        <v>1.1791133657321984</v>
      </c>
    </row>
    <row r="49" spans="1:38" x14ac:dyDescent="0.2">
      <c r="A49" s="65">
        <v>46</v>
      </c>
      <c r="B49" s="60">
        <f t="shared" si="9"/>
        <v>0.4052200914166153</v>
      </c>
      <c r="C49" s="60">
        <f t="shared" si="10"/>
        <v>3.9724008963747393E-2</v>
      </c>
      <c r="D49" s="60" cm="1">
        <f t="array" ref="D49">OptionTheta(Type,A49,Sd,Td,Id,Vd,0)</f>
        <v>-9.4797870650134512E-3</v>
      </c>
      <c r="E49" s="60">
        <f t="shared" si="8"/>
        <v>12.149703922123489</v>
      </c>
      <c r="F49" s="61" cm="1">
        <f t="array" ref="F49">OptionRho(Type,A49,Sd,Td,Id,Vd,0)</f>
        <v>8.0599463699529361E-2</v>
      </c>
      <c r="L49" s="39">
        <f t="shared" si="11"/>
        <v>0.54627114330407067</v>
      </c>
      <c r="AA49" s="65">
        <v>46</v>
      </c>
      <c r="AB49" s="60">
        <f t="shared" si="12"/>
        <v>0.20885420668851384</v>
      </c>
      <c r="AC49" s="60">
        <f t="shared" si="13"/>
        <v>6.5829227973366308E-2</v>
      </c>
      <c r="AD49" s="60" cm="1">
        <f t="array" ref="AD49">OptionTheta(Type,AA49,Sddeux,Tddeux,Iddeux,Vddeux,0)</f>
        <v>-1.6673872045967611E-2</v>
      </c>
      <c r="AE49" s="60">
        <f t="shared" si="14"/>
        <v>4.0268122486241618</v>
      </c>
      <c r="AF49" s="61" cm="1">
        <f t="array" ref="AF49">OptionRho(Type,AA49,Sddeux,Tddeux,Iddeux,Vddeux,0)</f>
        <v>9.1147895422880598E-3</v>
      </c>
      <c r="AL49" s="39">
        <f t="shared" si="15"/>
        <v>0.94743534669317175</v>
      </c>
    </row>
    <row r="50" spans="1:38" x14ac:dyDescent="0.2">
      <c r="A50" s="65">
        <v>47</v>
      </c>
      <c r="B50" s="60">
        <f t="shared" si="9"/>
        <v>0.44493173036781197</v>
      </c>
      <c r="C50" s="60">
        <f t="shared" si="10"/>
        <v>3.9631632564521721E-2</v>
      </c>
      <c r="D50" s="60" cm="1">
        <f t="array" ref="D50">OptionTheta(Type,A50,Sd,Td,Id,Vd,0)</f>
        <v>-9.8089120844438195E-3</v>
      </c>
      <c r="E50" s="60">
        <f t="shared" si="8"/>
        <v>12.775731077373704</v>
      </c>
      <c r="F50" s="61" cm="1">
        <f t="array" ref="F50">OptionRho(Type,A50,Sd,Td,Id,Vd,0)</f>
        <v>8.9832381063571859E-2</v>
      </c>
      <c r="L50" s="39">
        <f t="shared" si="11"/>
        <v>0.44488991964185165</v>
      </c>
      <c r="AA50" s="65">
        <v>47</v>
      </c>
      <c r="AB50" s="60">
        <f t="shared" si="12"/>
        <v>0.27970838964131173</v>
      </c>
      <c r="AC50" s="60">
        <f t="shared" si="13"/>
        <v>7.545805780799017E-2</v>
      </c>
      <c r="AD50" s="60" cm="1">
        <f t="array" ref="AD50">OptionTheta(Type,AA50,Sddeux,Tddeux,Iddeux,Vddeux,0)</f>
        <v>-1.9870416371116219E-2</v>
      </c>
      <c r="AE50" s="60">
        <f t="shared" si="14"/>
        <v>4.8649616066475341</v>
      </c>
      <c r="AF50" s="61" cm="1">
        <f t="array" ref="AF50">OptionRho(Type,AA50,Sddeux,Tddeux,Iddeux,Vddeux,0)</f>
        <v>1.2410313047292084E-2</v>
      </c>
      <c r="AL50" s="39">
        <f t="shared" si="15"/>
        <v>0.72074003894233973</v>
      </c>
    </row>
    <row r="51" spans="1:38" x14ac:dyDescent="0.2">
      <c r="A51" s="65">
        <v>48</v>
      </c>
      <c r="B51" s="60">
        <f t="shared" si="9"/>
        <v>0.4843534047467063</v>
      </c>
      <c r="C51" s="60">
        <f t="shared" si="10"/>
        <v>3.9149694648888844E-2</v>
      </c>
      <c r="D51" s="60" cm="1">
        <f t="array" ref="D51">OptionTheta(Type,A51,Sd,Td,Id,Vd,0)</f>
        <v>-1.003359186456187E-2</v>
      </c>
      <c r="E51" s="60">
        <f t="shared" si="8"/>
        <v>13.28686923732112</v>
      </c>
      <c r="F51" s="61" cm="1">
        <f t="array" ref="F51">OptionRho(Type,A51,Sd,Td,Id,Vd,0)</f>
        <v>9.9194827657928114E-2</v>
      </c>
      <c r="L51" s="39">
        <f t="shared" si="11"/>
        <v>0.34564319690263556</v>
      </c>
      <c r="AA51" s="65">
        <v>48</v>
      </c>
      <c r="AB51" s="60">
        <f t="shared" si="12"/>
        <v>0.35875613123309014</v>
      </c>
      <c r="AC51" s="60">
        <f t="shared" si="13"/>
        <v>8.2058850567938352E-2</v>
      </c>
      <c r="AD51" s="60" cm="1">
        <f t="array" ref="AD51">OptionTheta(Type,AA51,Sddeux,Tddeux,Iddeux,Vddeux,0)</f>
        <v>-2.2423421891163909E-2</v>
      </c>
      <c r="AE51" s="60">
        <f t="shared" si="14"/>
        <v>5.5699296101254054</v>
      </c>
      <c r="AF51" s="61" cm="1">
        <f t="array" ref="AF51">OptionRho(Type,AA51,Sddeux,Tddeux,Iddeux,Vddeux,0)</f>
        <v>1.6165631830450961E-2</v>
      </c>
      <c r="AL51" s="39">
        <f t="shared" si="15"/>
        <v>0.49881762035337829</v>
      </c>
    </row>
    <row r="52" spans="1:38" x14ac:dyDescent="0.2">
      <c r="A52" s="65">
        <v>49</v>
      </c>
      <c r="B52" s="60">
        <f t="shared" si="9"/>
        <v>0.52311373503777414</v>
      </c>
      <c r="C52" s="60">
        <f t="shared" si="10"/>
        <v>3.8315809135865124E-2</v>
      </c>
      <c r="D52" s="60" cm="1">
        <f t="array" ref="D52">OptionTheta(Type,A52,Sd,Td,Id,Vd,0)</f>
        <v>-1.01519346797378E-2</v>
      </c>
      <c r="E52" s="60">
        <f t="shared" si="8"/>
        <v>13.676088371008934</v>
      </c>
      <c r="F52" s="61" cm="1">
        <f t="array" ref="F52">OptionRho(Type,A52,Sd,Td,Id,Vd,0)</f>
        <v>0.1085938599950621</v>
      </c>
      <c r="L52" s="39">
        <f t="shared" si="11"/>
        <v>0.24844294487405266</v>
      </c>
      <c r="AA52" s="65">
        <v>49</v>
      </c>
      <c r="AB52" s="60">
        <f t="shared" si="12"/>
        <v>0.44257682521852498</v>
      </c>
      <c r="AC52" s="60">
        <f t="shared" si="13"/>
        <v>8.4930260474727598E-2</v>
      </c>
      <c r="AD52" s="60" cm="1">
        <f t="array" ref="AD52">OptionTheta(Type,AA52,Sddeux,Tddeux,Iddeux,Vddeux,0)</f>
        <v>-2.4031962994529501E-2</v>
      </c>
      <c r="AE52" s="60">
        <f t="shared" si="14"/>
        <v>6.0628433736400398</v>
      </c>
      <c r="AF52" s="61" cm="1">
        <f t="array" ref="AF52">OptionRho(Type,AA52,Sddeux,Tddeux,Iddeux,Vddeux,0)</f>
        <v>2.0231174999433749E-2</v>
      </c>
      <c r="AL52" s="39">
        <f t="shared" si="15"/>
        <v>0.28147124938735513</v>
      </c>
    </row>
    <row r="53" spans="1:38" x14ac:dyDescent="0.2">
      <c r="A53" s="65">
        <v>50</v>
      </c>
      <c r="B53" s="60">
        <f t="shared" si="9"/>
        <v>0.56088227191310724</v>
      </c>
      <c r="C53" s="60">
        <f t="shared" si="10"/>
        <v>3.7173793003029122E-2</v>
      </c>
      <c r="D53" s="60" cm="1">
        <f t="array" ref="D53">OptionTheta(Type,A53,Sd,Td,Id,Vd,0)</f>
        <v>-1.0165170756277009E-2</v>
      </c>
      <c r="E53" s="60">
        <f t="shared" si="8"/>
        <v>13.940172376135919</v>
      </c>
      <c r="F53" s="61" cm="1">
        <f t="array" ref="F53">OptionRho(Type,A53,Sd,Td,Id,Vd,0)</f>
        <v>0.11794109669991694</v>
      </c>
      <c r="L53" s="39">
        <f t="shared" si="11"/>
        <v>0.15320646925708531</v>
      </c>
      <c r="AA53" s="65">
        <v>50</v>
      </c>
      <c r="AB53" s="60">
        <f t="shared" si="12"/>
        <v>0.5273125644325769</v>
      </c>
      <c r="AC53" s="60">
        <f t="shared" si="13"/>
        <v>8.3907237146628733E-2</v>
      </c>
      <c r="AD53" s="60" cm="1">
        <f t="array" ref="AD53">OptionTheta(Type,AA53,Sddeux,Tddeux,Iddeux,Vddeux,0)</f>
        <v>-2.4523435650723503E-2</v>
      </c>
      <c r="AE53" s="60">
        <f t="shared" si="14"/>
        <v>6.2930427859971543</v>
      </c>
      <c r="AF53" s="61" cm="1">
        <f t="array" ref="AF53">OptionRho(Type,AA53,Sddeux,Tddeux,Iddeux,Vddeux,0)</f>
        <v>2.4425508324082745E-2</v>
      </c>
      <c r="AL53" s="39">
        <f t="shared" si="15"/>
        <v>6.8516015970314897E-2</v>
      </c>
    </row>
    <row r="54" spans="1:38" x14ac:dyDescent="0.2">
      <c r="A54" s="65">
        <v>51</v>
      </c>
      <c r="B54" s="60">
        <f t="shared" si="9"/>
        <v>0.59737443734914308</v>
      </c>
      <c r="C54" s="60">
        <f t="shared" si="10"/>
        <v>3.5771172906738029E-2</v>
      </c>
      <c r="D54" s="60" cm="1">
        <f t="array" ref="D54">OptionTheta(Type,A54,Sd,Td,Id,Vd,0)</f>
        <v>-1.0077309035741265E-2</v>
      </c>
      <c r="E54" s="60">
        <f t="shared" si="8"/>
        <v>14.079495403062905</v>
      </c>
      <c r="F54" s="61" cm="1">
        <f t="array" ref="F54">OptionRho(Type,A54,Sd,Td,Id,Vd,0)</f>
        <v>0.12715478370589761</v>
      </c>
      <c r="L54" s="39">
        <f t="shared" si="11"/>
        <v>5.9855988947495102E-2</v>
      </c>
      <c r="AA54" s="65">
        <v>51</v>
      </c>
      <c r="AB54" s="60">
        <f t="shared" si="12"/>
        <v>0.60920747463138247</v>
      </c>
      <c r="AC54" s="60">
        <f t="shared" si="13"/>
        <v>7.9346279901690797E-2</v>
      </c>
      <c r="AD54" s="60" cm="1">
        <f t="array" ref="AD54">OptionTheta(Type,AA54,Sddeux,Tddeux,Iddeux,Vddeux,0)</f>
        <v>-2.3879092954685259E-2</v>
      </c>
      <c r="AE54" s="60">
        <f t="shared" si="14"/>
        <v>6.2461221835729361</v>
      </c>
      <c r="AF54" s="61" cm="1">
        <f t="array" ref="AF54">OptionRho(Type,AA54,Sddeux,Tddeux,Iddeux,Vddeux,0)</f>
        <v>2.8560820131663878E-2</v>
      </c>
      <c r="AL54" s="39">
        <f t="shared" si="15"/>
        <v>-0.14022200373418442</v>
      </c>
    </row>
    <row r="55" spans="1:38" x14ac:dyDescent="0.2">
      <c r="A55" s="65">
        <v>52</v>
      </c>
      <c r="B55" s="60">
        <f t="shared" si="9"/>
        <v>0.6323540818211546</v>
      </c>
      <c r="C55" s="60">
        <f t="shared" si="10"/>
        <v>3.4156927280766899E-2</v>
      </c>
      <c r="D55" s="60" cm="1">
        <f t="array" ref="D55">OptionTheta(Type,A55,Sd,Td,Id,Vd,0)</f>
        <v>-9.894710779876489E-3</v>
      </c>
      <c r="E55" s="60">
        <f t="shared" si="8"/>
        <v>14.097662668341052</v>
      </c>
      <c r="F55" s="61" cm="1">
        <f t="array" ref="F55">OptionRho(Type,A55,Sd,Td,Id,Vd,0)</f>
        <v>0.13616136921719924</v>
      </c>
      <c r="L55" s="39">
        <f t="shared" si="11"/>
        <v>-3.1681745633965384E-2</v>
      </c>
      <c r="AA55" s="65">
        <v>52</v>
      </c>
      <c r="AB55" s="60">
        <f t="shared" si="12"/>
        <v>0.68507522945213151</v>
      </c>
      <c r="AC55" s="60">
        <f t="shared" si="13"/>
        <v>7.2002868260363048E-2</v>
      </c>
      <c r="AD55" s="60" cm="1">
        <f t="array" ref="AD55">OptionTheta(Type,AA55,Sddeux,Tddeux,Iddeux,Vddeux,0)</f>
        <v>-2.2224550921697291E-2</v>
      </c>
      <c r="AE55" s="60">
        <f t="shared" si="14"/>
        <v>5.943579992098214</v>
      </c>
      <c r="AF55" s="61" cm="1">
        <f t="array" ref="AF55">OptionRho(Type,AA55,Sddeux,Tddeux,Iddeux,Vddeux,0)</f>
        <v>3.2467396175073257E-2</v>
      </c>
      <c r="AL55" s="39">
        <f t="shared" si="15"/>
        <v>-0.34490660076466334</v>
      </c>
    </row>
    <row r="56" spans="1:38" x14ac:dyDescent="0.2">
      <c r="A56" s="65">
        <v>53</v>
      </c>
      <c r="B56" s="60">
        <f t="shared" si="9"/>
        <v>0.6656339360090362</v>
      </c>
      <c r="C56" s="60">
        <f t="shared" si="10"/>
        <v>3.2379543225879631E-2</v>
      </c>
      <c r="D56" s="60" cm="1">
        <f t="array" ref="D56">OptionTheta(Type,A56,Sd,Td,Id,Vd,0)</f>
        <v>-9.6256158939747264E-3</v>
      </c>
      <c r="E56" s="60">
        <f t="shared" si="8"/>
        <v>14.001055186106903</v>
      </c>
      <c r="F56" s="61" cm="1">
        <f t="array" ref="F56">OptionRho(Type,A56,Sd,Td,Id,Vd,0)</f>
        <v>0.14489659004163472</v>
      </c>
      <c r="L56" s="39">
        <f t="shared" si="11"/>
        <v>-0.12147579785490917</v>
      </c>
      <c r="AA56" s="65">
        <v>53</v>
      </c>
      <c r="AB56" s="60">
        <f t="shared" si="12"/>
        <v>0.75260944436986388</v>
      </c>
      <c r="AC56" s="60">
        <f t="shared" si="13"/>
        <v>6.2848935066906961E-2</v>
      </c>
      <c r="AD56" s="60" cm="1">
        <f t="array" ref="AD56">OptionTheta(Type,AA56,Sddeux,Tddeux,Iddeux,Vddeux,0)</f>
        <v>-1.9792263213050061E-2</v>
      </c>
      <c r="AE56" s="60">
        <f t="shared" si="14"/>
        <v>5.4352305226869611</v>
      </c>
      <c r="AF56" s="61" cm="1">
        <f t="array" ref="AF56">OptionRho(Type,AA56,Sddeux,Tddeux,Iddeux,Vddeux,0)</f>
        <v>3.6012178218454975E-2</v>
      </c>
      <c r="AL56" s="39">
        <f t="shared" si="15"/>
        <v>-0.54569220550585962</v>
      </c>
    </row>
    <row r="57" spans="1:38" x14ac:dyDescent="0.2">
      <c r="A57" s="65">
        <v>54</v>
      </c>
      <c r="B57" s="60">
        <f t="shared" si="9"/>
        <v>0.69707429576484703</v>
      </c>
      <c r="C57" s="60">
        <f t="shared" si="10"/>
        <v>3.0485430374935143E-2</v>
      </c>
      <c r="D57" s="60" cm="1">
        <f t="array" ref="D57">OptionTheta(Type,A57,Sd,Td,Id,Vd,0)</f>
        <v>-9.2796542102702786E-3</v>
      </c>
      <c r="E57" s="60">
        <f t="shared" si="8"/>
        <v>13.798316794195941</v>
      </c>
      <c r="F57" s="61" cm="1">
        <f t="array" ref="F57">OptionRho(Type,A57,Sd,Td,Id,Vd,0)</f>
        <v>0.15330609676258433</v>
      </c>
      <c r="L57" s="39">
        <f t="shared" si="11"/>
        <v>-0.20959135790646918</v>
      </c>
      <c r="AA57" s="65">
        <v>54</v>
      </c>
      <c r="AB57" s="60">
        <f t="shared" si="12"/>
        <v>0.81050441518136696</v>
      </c>
      <c r="AC57" s="60">
        <f t="shared" si="13"/>
        <v>5.2884600740569943E-2</v>
      </c>
      <c r="AD57" s="60" cm="1">
        <f t="array" ref="AD57">OptionTheta(Type,AA57,Sddeux,Tddeux,Iddeux,Vddeux,0)</f>
        <v>-1.6869432213431984E-2</v>
      </c>
      <c r="AE57" s="60">
        <f t="shared" si="14"/>
        <v>4.7873260477432646</v>
      </c>
      <c r="AF57" s="61" cm="1">
        <f t="array" ref="AF57">OptionRho(Type,AA57,Sddeux,Tddeux,Iddeux,Vddeux,0)</f>
        <v>3.9108727563745657E-2</v>
      </c>
      <c r="AL57" s="39">
        <f t="shared" si="15"/>
        <v>-0.74272458765661264</v>
      </c>
    </row>
    <row r="58" spans="1:38" x14ac:dyDescent="0.2">
      <c r="A58" s="65">
        <v>55</v>
      </c>
      <c r="B58" s="60">
        <f t="shared" si="9"/>
        <v>0.72658030514178318</v>
      </c>
      <c r="C58" s="60">
        <f t="shared" si="10"/>
        <v>2.8517702744041196E-2</v>
      </c>
      <c r="D58" s="60" cm="1">
        <f t="array" ref="D58">OptionTheta(Type,A58,Sd,Td,Id,Vd,0)</f>
        <v>-8.8673688476469305E-3</v>
      </c>
      <c r="E58" s="60">
        <f t="shared" si="8"/>
        <v>13.499818350902434</v>
      </c>
      <c r="F58" s="61" cm="1">
        <f t="array" ref="F58">OptionRho(Type,A58,Sd,Td,Id,Vd,0)</f>
        <v>0.16134566416036944</v>
      </c>
      <c r="L58" s="39">
        <f t="shared" si="11"/>
        <v>-0.29609002711456311</v>
      </c>
      <c r="AA58" s="65">
        <v>55</v>
      </c>
      <c r="AB58" s="60">
        <f t="shared" si="12"/>
        <v>0.8584033662552919</v>
      </c>
      <c r="AC58" s="60">
        <f t="shared" si="13"/>
        <v>4.2987019806474507E-2</v>
      </c>
      <c r="AD58" s="60" cm="1">
        <f t="array" ref="AD58">OptionTheta(Type,AA58,Sddeux,Tddeux,Iddeux,Vddeux,0)</f>
        <v>-1.3745863500454278E-2</v>
      </c>
      <c r="AE58" s="60">
        <f t="shared" si="14"/>
        <v>4.0698717147215451</v>
      </c>
      <c r="AF58" s="61" cm="1">
        <f t="array" ref="AF58">OptionRho(Type,AA58,Sddeux,Tddeux,Iddeux,Vddeux,0)</f>
        <v>4.1718394674526552E-2</v>
      </c>
      <c r="AL58" s="39">
        <f t="shared" si="15"/>
        <v>-0.93614149196917862</v>
      </c>
    </row>
    <row r="59" spans="1:38" x14ac:dyDescent="0.2">
      <c r="A59" s="65">
        <v>56</v>
      </c>
      <c r="B59" s="60">
        <f t="shared" si="9"/>
        <v>0.75409820054764642</v>
      </c>
      <c r="C59" s="60">
        <f t="shared" si="10"/>
        <v>2.6515315252541902E-2</v>
      </c>
      <c r="D59" s="60" cm="1">
        <f t="array" ref="D59">OptionTheta(Type,A59,Sd,Td,Id,Vd,0)</f>
        <v>-8.3997728935932062E-3</v>
      </c>
      <c r="E59" s="60">
        <f t="shared" si="8"/>
        <v>13.117128854970218</v>
      </c>
      <c r="F59" s="61" cm="1">
        <f t="array" ref="F59">OptionRho(Type,A59,Sd,Td,Id,Vd,0)</f>
        <v>0.16898104556929805</v>
      </c>
      <c r="L59" s="39">
        <f t="shared" si="11"/>
        <v>-0.38103007663316907</v>
      </c>
      <c r="AA59" s="65">
        <v>56</v>
      </c>
      <c r="AB59" s="60">
        <f t="shared" si="12"/>
        <v>0.89672432099708477</v>
      </c>
      <c r="AC59" s="60">
        <f t="shared" si="13"/>
        <v>3.3818668458976978E-2</v>
      </c>
      <c r="AD59" s="60" cm="1">
        <f t="array" ref="AD59">OptionTheta(Type,AA59,Sddeux,Tddeux,Iddeux,Vddeux,0)</f>
        <v>-1.0672881182990424E-2</v>
      </c>
      <c r="AE59" s="60">
        <f t="shared" si="14"/>
        <v>3.3460196694240141</v>
      </c>
      <c r="AF59" s="61" cm="1">
        <f t="array" ref="AF59">OptionRho(Type,AA59,Sddeux,Tddeux,Iddeux,Vddeux,0)</f>
        <v>4.3844443056966352E-2</v>
      </c>
      <c r="AL59" s="39">
        <f t="shared" si="15"/>
        <v>-1.1260732167049798</v>
      </c>
    </row>
    <row r="60" spans="1:38" x14ac:dyDescent="0.2">
      <c r="A60" s="65">
        <v>57</v>
      </c>
      <c r="B60" s="60">
        <f t="shared" si="9"/>
        <v>0.77961085649057671</v>
      </c>
      <c r="C60" s="60">
        <f t="shared" si="10"/>
        <v>2.4512524154824012E-2</v>
      </c>
      <c r="D60" s="60" cm="1">
        <f t="array" ref="D60">OptionTheta(Type,A60,Sd,Td,Id,Vd,0)</f>
        <v>-7.8879546557875102E-3</v>
      </c>
      <c r="E60" s="60">
        <f t="shared" si="8"/>
        <v>12.662517252014853</v>
      </c>
      <c r="F60" s="61" cm="1">
        <f t="array" ref="F60">OptionRho(Type,A60,Sd,Td,Id,Vd,0)</f>
        <v>0.17618753617340072</v>
      </c>
      <c r="L60" s="39">
        <f t="shared" si="11"/>
        <v>-0.46446668324063967</v>
      </c>
      <c r="AA60" s="65">
        <v>57</v>
      </c>
      <c r="AB60" s="60">
        <f t="shared" si="12"/>
        <v>0.92642543888743945</v>
      </c>
      <c r="AC60" s="60">
        <f t="shared" si="13"/>
        <v>2.5796834107933684E-2</v>
      </c>
      <c r="AD60" s="60" cm="1">
        <f t="array" ref="AD60">OptionTheta(Type,AA60,Sddeux,Tddeux,Iddeux,Vddeux,0)</f>
        <v>-7.8388722773948486E-3</v>
      </c>
      <c r="AE60" s="60">
        <f t="shared" si="14"/>
        <v>2.6651915149651408</v>
      </c>
      <c r="AF60" s="61" cm="1">
        <f t="array" ref="AF60">OptionRho(Type,AA60,Sddeux,Tddeux,Iddeux,Vddeux,0)</f>
        <v>4.5521887475066178E-2</v>
      </c>
      <c r="AL60" s="39">
        <f t="shared" si="15"/>
        <v>-1.3126431408911921</v>
      </c>
    </row>
    <row r="61" spans="1:38" x14ac:dyDescent="0.2">
      <c r="A61" s="65">
        <v>58</v>
      </c>
      <c r="B61" s="60">
        <f t="shared" si="9"/>
        <v>0.80313293658233598</v>
      </c>
      <c r="C61" s="60">
        <f t="shared" si="10"/>
        <v>2.2538629524084391E-2</v>
      </c>
      <c r="D61" s="60" cm="1">
        <f t="array" ref="D61">OptionTheta(Type,A61,Sd,Td,Id,Vd,0)</f>
        <v>-7.3427410713869275E-3</v>
      </c>
      <c r="E61" s="60">
        <f t="shared" si="8"/>
        <v>12.148502470808481</v>
      </c>
      <c r="F61" s="61" cm="1">
        <f t="array" ref="F61">OptionRho(Type,A61,Sd,Td,Id,Vd,0)</f>
        <v>0.18294931157491642</v>
      </c>
      <c r="L61" s="39">
        <f t="shared" si="11"/>
        <v>-0.54645214462873581</v>
      </c>
      <c r="AA61" s="65">
        <v>58</v>
      </c>
      <c r="AB61" s="60">
        <f t="shared" si="12"/>
        <v>0.94876552665798031</v>
      </c>
      <c r="AC61" s="60">
        <f t="shared" si="13"/>
        <v>1.9111575487593662E-2</v>
      </c>
      <c r="AD61" s="60" cm="1">
        <f t="array" ref="AD61">OptionTheta(Type,AA61,Sddeux,Tddeux,Iddeux,Vddeux,0)</f>
        <v>-5.3616235317124686E-3</v>
      </c>
      <c r="AE61" s="60">
        <f t="shared" si="14"/>
        <v>2.0602585599445935</v>
      </c>
      <c r="AF61" s="61" cm="1">
        <f t="array" ref="AF61">OptionRho(Type,AA61,Sddeux,Tddeux,Iddeux,Vddeux,0)</f>
        <v>4.6805885411843863E-2</v>
      </c>
      <c r="AL61" s="39">
        <f t="shared" si="15"/>
        <v>-1.4959682057216594</v>
      </c>
    </row>
    <row r="62" spans="1:38" x14ac:dyDescent="0.2">
      <c r="A62" s="65">
        <v>59</v>
      </c>
      <c r="B62" s="60">
        <f t="shared" si="9"/>
        <v>0.82470590835805591</v>
      </c>
      <c r="C62" s="60">
        <f t="shared" si="10"/>
        <v>2.0617952252598288E-2</v>
      </c>
      <c r="D62" s="60" cm="1">
        <f t="array" ref="D62">OptionTheta(Type,A62,Sd,Td,Id,Vd,0)</f>
        <v>-6.7744238602757767E-3</v>
      </c>
      <c r="E62" s="60">
        <f t="shared" si="8"/>
        <v>11.587463274266609</v>
      </c>
      <c r="F62" s="61" cm="1">
        <f t="array" ref="F62">OptionRho(Type,A62,Sd,Td,Id,Vd,0)</f>
        <v>0.18925860540189995</v>
      </c>
      <c r="L62" s="39">
        <f t="shared" si="11"/>
        <v>-0.62703607628808677</v>
      </c>
      <c r="AA62" s="65">
        <v>59</v>
      </c>
      <c r="AB62" s="60">
        <f t="shared" si="12"/>
        <v>0.96509884607658891</v>
      </c>
      <c r="AC62" s="60">
        <f t="shared" si="13"/>
        <v>1.3773041267731614E-2</v>
      </c>
      <c r="AD62" s="60" cm="1">
        <f t="array" ref="AD62">OptionTheta(Type,AA62,Sddeux,Tddeux,Iddeux,Vddeux,0)</f>
        <v>-3.293860963603755E-3</v>
      </c>
      <c r="AE62" s="60">
        <f t="shared" si="14"/>
        <v>1.5481130997835735</v>
      </c>
      <c r="AF62" s="61" cm="1">
        <f t="array" ref="AF62">OptionRho(Type,AA62,Sddeux,Tddeux,Iddeux,Vddeux,0)</f>
        <v>4.77609398834224E-2</v>
      </c>
      <c r="AL62" s="39">
        <f t="shared" si="15"/>
        <v>-1.6761593548061655</v>
      </c>
    </row>
    <row r="63" spans="1:38" x14ac:dyDescent="0.2">
      <c r="A63" s="65">
        <v>60</v>
      </c>
      <c r="B63" s="60">
        <f t="shared" si="9"/>
        <v>0.84439313195733645</v>
      </c>
      <c r="C63" s="60">
        <f t="shared" si="10"/>
        <v>1.8769996708426075E-2</v>
      </c>
      <c r="D63" s="60" cm="1">
        <f t="array" ref="D63">OptionTheta(Type,A63,Sd,Td,Id,Vd,0)</f>
        <v>-6.1925488477133049E-3</v>
      </c>
      <c r="E63" s="60">
        <f t="shared" si="8"/>
        <v>10.991314157426851</v>
      </c>
      <c r="F63" s="61" cm="1">
        <f t="array" ref="F63">OptionRho(Type,A63,Sd,Td,Id,Vd,0)</f>
        <v>0.19511478433741708</v>
      </c>
      <c r="L63" s="39">
        <f t="shared" si="11"/>
        <v>-0.70626559184620497</v>
      </c>
      <c r="AA63" s="65">
        <v>60</v>
      </c>
      <c r="AB63" s="60">
        <f t="shared" si="12"/>
        <v>0.97672402162819971</v>
      </c>
      <c r="AC63" s="60">
        <f t="shared" si="13"/>
        <v>9.6695625704374642E-3</v>
      </c>
      <c r="AD63" s="60" cm="1">
        <f t="array" ref="AD63">OptionTheta(Type,AA63,Sddeux,Tddeux,Iddeux,Vddeux,0)</f>
        <v>-1.6367759284277247E-3</v>
      </c>
      <c r="AE63" s="60">
        <f t="shared" si="14"/>
        <v>1.1324583762858429</v>
      </c>
      <c r="AF63" s="61" cm="1">
        <f t="array" ref="AF63">OptionRho(Type,AA63,Sddeux,Tddeux,Iddeux,Vddeux,0)</f>
        <v>4.8452296126737474E-2</v>
      </c>
      <c r="AL63" s="39">
        <f t="shared" si="15"/>
        <v>-1.8533219374184953</v>
      </c>
    </row>
    <row r="64" spans="1:38" x14ac:dyDescent="0.2">
      <c r="A64" s="65">
        <v>61</v>
      </c>
      <c r="B64" s="60">
        <f t="shared" si="9"/>
        <v>0.8622751845889316</v>
      </c>
      <c r="C64" s="60">
        <f t="shared" si="10"/>
        <v>1.7009752116981469E-2</v>
      </c>
      <c r="D64" s="60" cm="1">
        <f t="array" ref="D64">OptionTheta(Type,A64,Sd,Td,Id,Vd,0)</f>
        <v>-5.6057656335223634E-3</v>
      </c>
      <c r="E64" s="60">
        <f t="shared" si="8"/>
        <v>10.371248988225721</v>
      </c>
      <c r="F64" s="61" cm="1">
        <f t="array" ref="F64">OptionRho(Type,A64,Sd,Td,Id,Vd,0)</f>
        <v>0.20052337174807489</v>
      </c>
      <c r="L64" s="39">
        <f t="shared" si="11"/>
        <v>-0.78418546849941195</v>
      </c>
      <c r="AA64" s="65">
        <v>61</v>
      </c>
      <c r="AB64" s="60">
        <f t="shared" si="12"/>
        <v>0.98479037883160148</v>
      </c>
      <c r="AC64" s="60">
        <f t="shared" si="13"/>
        <v>6.6225956727689033E-3</v>
      </c>
      <c r="AD64" s="60" cm="1">
        <f t="array" ref="AD64">OptionTheta(Type,AA64,Sddeux,Tddeux,Iddeux,Vddeux,0)</f>
        <v>-3.5649148017994942E-4</v>
      </c>
      <c r="AE64" s="60">
        <f t="shared" si="14"/>
        <v>0.80759070676946698</v>
      </c>
      <c r="AF64" s="61" cm="1">
        <f t="array" ref="AF64">OptionRho(Type,AA64,Sddeux,Tddeux,Iddeux,Vddeux,0)</f>
        <v>4.8940057108055379E-2</v>
      </c>
      <c r="AL64" s="39">
        <f t="shared" si="15"/>
        <v>-2.0275560784134647</v>
      </c>
    </row>
    <row r="65" spans="1:38" x14ac:dyDescent="0.2">
      <c r="A65" s="65">
        <v>62</v>
      </c>
      <c r="B65" s="60">
        <f t="shared" si="9"/>
        <v>0.87844553770336908</v>
      </c>
      <c r="C65" s="60">
        <f t="shared" si="10"/>
        <v>1.5348089896912446E-2</v>
      </c>
      <c r="D65" s="60" cm="1">
        <f t="array" ref="D65">OptionTheta(Type,A65,Sd,Td,Id,Vd,0)</f>
        <v>-5.0217324347416655E-3</v>
      </c>
      <c r="E65" s="60">
        <f t="shared" si="8"/>
        <v>9.7375504621919813</v>
      </c>
      <c r="F65" s="61" cm="1">
        <f t="array" ref="F65">OptionRho(Type,A65,Sd,Td,Id,Vd,0)</f>
        <v>0.20549506292180161</v>
      </c>
      <c r="L65" s="39">
        <f t="shared" si="11"/>
        <v>-0.86083829899315401</v>
      </c>
      <c r="AA65" s="65">
        <v>62</v>
      </c>
      <c r="AB65" s="60">
        <f t="shared" si="12"/>
        <v>0.99025409388126118</v>
      </c>
      <c r="AC65" s="60">
        <f t="shared" si="13"/>
        <v>4.4305569153503263E-3</v>
      </c>
      <c r="AD65" s="60" cm="1">
        <f t="array" ref="AD65">OptionTheta(Type,AA65,Sddeux,Tddeux,Iddeux,Vddeux,0)</f>
        <v>6.0032911921068064E-4</v>
      </c>
      <c r="AE65" s="60">
        <f t="shared" si="14"/>
        <v>0.5621907589623435</v>
      </c>
      <c r="AF65" s="61" cm="1">
        <f t="array" ref="AF65">OptionRho(Type,AA65,Sddeux,Tddeux,Iddeux,Vddeux,0)</f>
        <v>4.9275893186459897E-2</v>
      </c>
      <c r="AL65" s="39">
        <f t="shared" si="15"/>
        <v>-2.1989570180652405</v>
      </c>
    </row>
    <row r="66" spans="1:38" x14ac:dyDescent="0.2">
      <c r="A66" s="65">
        <v>63</v>
      </c>
      <c r="B66" s="60">
        <f t="shared" si="9"/>
        <v>0.89300666370235915</v>
      </c>
      <c r="C66" s="60">
        <f t="shared" si="10"/>
        <v>1.3792219689470848E-2</v>
      </c>
      <c r="D66" s="60" cm="1">
        <f t="array" ref="D66">OptionTheta(Type,A66,Sd,Td,Id,Vd,0)</f>
        <v>-4.4470694018617493E-3</v>
      </c>
      <c r="E66" s="60">
        <f t="shared" si="8"/>
        <v>9.0994607351990435</v>
      </c>
      <c r="F66" s="61" cm="1">
        <f t="array" ref="F66">OptionRho(Type,A66,Sd,Td,Id,Vd,0)</f>
        <v>0.21004476648960049</v>
      </c>
      <c r="L66" s="39">
        <f t="shared" si="11"/>
        <v>-0.93626463144227412</v>
      </c>
      <c r="AA66" s="65">
        <v>63</v>
      </c>
      <c r="AB66" s="60">
        <f t="shared" si="12"/>
        <v>0.99387132498880748</v>
      </c>
      <c r="AC66" s="60">
        <f t="shared" si="13"/>
        <v>2.8988610809400732E-3</v>
      </c>
      <c r="AD66" s="60" cm="1">
        <f t="array" ref="AD66">OptionTheta(Type,AA66,Sddeux,Tddeux,Iddeux,Vddeux,0)</f>
        <v>1.293933619669254E-3</v>
      </c>
      <c r="AE66" s="60">
        <f t="shared" si="14"/>
        <v>0.38250656060747301</v>
      </c>
      <c r="AF66" s="61" cm="1">
        <f t="array" ref="AF66">OptionRho(Type,AA66,Sddeux,Tddeux,Iddeux,Vddeux,0)</f>
        <v>4.9501842727028976E-2</v>
      </c>
      <c r="AL66" s="39">
        <f t="shared" si="15"/>
        <v>-2.3676154247149714</v>
      </c>
    </row>
    <row r="67" spans="1:38" x14ac:dyDescent="0.2">
      <c r="A67" s="65">
        <v>64</v>
      </c>
      <c r="B67" s="60">
        <f t="shared" si="9"/>
        <v>0.90606661479551931</v>
      </c>
      <c r="C67" s="60">
        <f t="shared" si="10"/>
        <v>1.2346172959449264E-2</v>
      </c>
      <c r="D67" s="60" cm="1">
        <f t="array" ref="D67">OptionTheta(Type,A67,Sd,Td,Id,Vd,0)</f>
        <v>-3.8873528935689347E-3</v>
      </c>
      <c r="E67" s="60">
        <f t="shared" si="8"/>
        <v>8.4651067501024677</v>
      </c>
      <c r="F67" s="61" cm="1">
        <f t="array" ref="F67">OptionRho(Type,A67,Sd,Td,Id,Vd,0)</f>
        <v>0.21419069843325664</v>
      </c>
      <c r="L67" s="39">
        <f t="shared" si="11"/>
        <v>-1.0105030981403913</v>
      </c>
      <c r="AA67" s="65">
        <v>64</v>
      </c>
      <c r="AB67" s="60">
        <f t="shared" si="12"/>
        <v>0.99621476986659219</v>
      </c>
      <c r="AC67" s="60">
        <f t="shared" si="13"/>
        <v>1.8570961606520419E-3</v>
      </c>
      <c r="AD67" s="60" cm="1">
        <f t="array" ref="AD67">OptionTheta(Type,AA67,Sddeux,Tddeux,Iddeux,Vddeux,0)</f>
        <v>1.7827707747765959E-3</v>
      </c>
      <c r="AE67" s="60">
        <f t="shared" si="14"/>
        <v>0.25466219040926585</v>
      </c>
      <c r="AF67" s="61" cm="1">
        <f t="array" ref="AF67">OptionRho(Type,AA67,Sddeux,Tddeux,Iddeux,Vddeux,0)</f>
        <v>4.9650564856242092E-2</v>
      </c>
      <c r="AL67" s="39">
        <f t="shared" si="15"/>
        <v>-2.5336176827973156</v>
      </c>
    </row>
    <row r="68" spans="1:38" x14ac:dyDescent="0.2">
      <c r="A68" s="65">
        <v>65</v>
      </c>
      <c r="B68" s="60">
        <f t="shared" ref="B68:B99" si="16">OptionDelta(Type,A68,Sd,Td,Id,Vd,0)</f>
        <v>0.91773608861378608</v>
      </c>
      <c r="C68" s="60">
        <f t="shared" ref="C68:C103" si="17">OptionGamma(A68,Sd,Td,Id,Vd,0)</f>
        <v>1.1011289263027713E-2</v>
      </c>
      <c r="D68" s="60" cm="1">
        <f t="array" ref="D68">OptionTheta(Type,A68,Sd,Td,Id,Vd,0)</f>
        <v>-3.3471429615202432E-3</v>
      </c>
      <c r="E68" s="60">
        <f t="shared" si="8"/>
        <v>7.8414726822153051</v>
      </c>
      <c r="F68" s="61" cm="1">
        <f t="array" ref="F68">OptionRho(Type,A68,Sd,Td,Id,Vd,0)</f>
        <v>0.21795354754456372</v>
      </c>
      <c r="L68" s="39">
        <f t="shared" ref="L68:L103" si="18">(LN(Sd/A68)+(Id+(Vd^2)/2)*Td)/(Vd*SQRT(Td))</f>
        <v>-1.0835905343828056</v>
      </c>
      <c r="AA68" s="65">
        <v>65</v>
      </c>
      <c r="AB68" s="60">
        <f t="shared" ref="AB68:AB99" si="19">OptionDelta(Type,AA68,Sddeux,Tddeux,Iddeux,Vddeux,0)</f>
        <v>0.99770209572280133</v>
      </c>
      <c r="AC68" s="60">
        <f t="shared" ref="AC68:AC103" si="20">OptionGamma(AA68,Sddeux,Tddeux,Iddeux,Vddeux,0)</f>
        <v>1.1661354316605632E-3</v>
      </c>
      <c r="AD68" s="60" cm="1">
        <f t="array" ref="AD68">OptionTheta(Type,AA68,Sddeux,Tddeux,Iddeux,Vddeux,0)</f>
        <v>2.1184035613929643E-3</v>
      </c>
      <c r="AE68" s="60">
        <f t="shared" ref="AE68:AE103" si="21">Sd*SQRT(Tddeux)*_xlfn.NORM.S.DIST(AL68,FALSE)</f>
        <v>0.16608807402477313</v>
      </c>
      <c r="AF68" s="61" cm="1">
        <f t="array" ref="AF68">OptionRho(Type,AA68,Sddeux,Tddeux,Iddeux,Vddeux,0)</f>
        <v>4.9746439942644834E-2</v>
      </c>
      <c r="AL68" s="39">
        <f t="shared" ref="AL68:AL103" si="22">(LN(Sddeux/AA68)+(Iddeux+(Vddeux^2)/2)*Tddeux)/(Vddeux*SQRT(Tddeux))</f>
        <v>-2.6970461585365362</v>
      </c>
    </row>
    <row r="69" spans="1:38" x14ac:dyDescent="0.2">
      <c r="A69" s="65">
        <v>66</v>
      </c>
      <c r="B69" s="60">
        <f t="shared" si="16"/>
        <v>0.9281259732742092</v>
      </c>
      <c r="C69" s="60">
        <f t="shared" si="17"/>
        <v>9.7866861801709625E-3</v>
      </c>
      <c r="D69" s="60" cm="1">
        <f t="array" ref="D69">OptionTheta(Type,A69,Sd,Td,Id,Vd,0)</f>
        <v>-2.830036512009952E-3</v>
      </c>
      <c r="E69" s="60">
        <f t="shared" ref="E69:E103" si="23">Sd*SQRT(Td)*_xlfn.NORM.S.DIST(L69,FALSE)</f>
        <v>7.2344114711353624</v>
      </c>
      <c r="F69" s="61" cm="1">
        <f t="array" ref="F69">OptionRho(Type,A69,Sd,Td,Id,Vd,0)</f>
        <v>0.22135572453836988</v>
      </c>
      <c r="L69" s="39">
        <f t="shared" si="18"/>
        <v>-1.1555620882178534</v>
      </c>
      <c r="AA69" s="65">
        <v>66</v>
      </c>
      <c r="AB69" s="60">
        <f t="shared" si="19"/>
        <v>0.99862782742412315</v>
      </c>
      <c r="AC69" s="60">
        <f t="shared" si="20"/>
        <v>7.1847848373449217E-4</v>
      </c>
      <c r="AD69" s="60" cm="1">
        <f t="array" ref="AD69">OptionTheta(Type,AA69,Sddeux,Tddeux,Iddeux,Vddeux,0)</f>
        <v>2.3433003043668642E-3</v>
      </c>
      <c r="AE69" s="60">
        <f t="shared" si="21"/>
        <v>0.10622122521970884</v>
      </c>
      <c r="AF69" s="61" cm="1">
        <f t="array" ref="AF69">OptionRho(Type,AA69,Sddeux,Tddeux,Iddeux,Vddeux,0)</f>
        <v>4.9807038173777032E-2</v>
      </c>
      <c r="AL69" s="39">
        <f t="shared" si="22"/>
        <v>-2.857979445357989</v>
      </c>
    </row>
    <row r="70" spans="1:38" x14ac:dyDescent="0.2">
      <c r="A70" s="65">
        <v>67</v>
      </c>
      <c r="B70" s="60">
        <f t="shared" si="16"/>
        <v>0.93734534830913629</v>
      </c>
      <c r="C70" s="60">
        <f t="shared" si="17"/>
        <v>8.6696992403414389E-3</v>
      </c>
      <c r="D70" s="60" cm="1">
        <f t="array" ref="D70">OptionTheta(Type,A70,Sd,Td,Id,Vd,0)</f>
        <v>-2.3387391496621857E-3</v>
      </c>
      <c r="E70" s="60">
        <f t="shared" si="23"/>
        <v>6.6486874509712726</v>
      </c>
      <c r="F70" s="61" cm="1">
        <f t="array" ref="F70">OptionRho(Type,A70,Sd,Td,Id,Vd,0)</f>
        <v>0.22442070135461858</v>
      </c>
      <c r="L70" s="39">
        <f t="shared" si="18"/>
        <v>-1.2264513219453081</v>
      </c>
      <c r="AA70" s="65">
        <v>67</v>
      </c>
      <c r="AB70" s="60">
        <f t="shared" si="19"/>
        <v>0.99919344190266601</v>
      </c>
      <c r="AC70" s="60">
        <f t="shared" si="20"/>
        <v>4.3475644725907939E-4</v>
      </c>
      <c r="AD70" s="60" cm="1">
        <f t="array" ref="AD70">OptionTheta(Type,AA70,Sddeux,Tddeux,Iddeux,Vddeux,0)</f>
        <v>2.4906015980351286E-3</v>
      </c>
      <c r="AE70" s="60">
        <f t="shared" si="21"/>
        <v>6.6681891839340535E-2</v>
      </c>
      <c r="AF70" s="61" cm="1">
        <f t="array" ref="AF70">OptionRho(Type,AA70,Sddeux,Tddeux,Iddeux,Vddeux,0)</f>
        <v>4.9844627970569613E-2</v>
      </c>
      <c r="AL70" s="39">
        <f t="shared" si="22"/>
        <v>-3.016492590845449</v>
      </c>
    </row>
    <row r="71" spans="1:38" x14ac:dyDescent="0.2">
      <c r="A71" s="65">
        <v>68</v>
      </c>
      <c r="B71" s="60">
        <f t="shared" si="16"/>
        <v>0.94549990657277339</v>
      </c>
      <c r="C71" s="60">
        <f t="shared" si="17"/>
        <v>7.6562827865906055E-3</v>
      </c>
      <c r="D71" s="60" cm="1">
        <f t="array" ref="D71">OptionTheta(Type,A71,Sd,Td,Id,Vd,0)</f>
        <v>-1.8751494576576659E-3</v>
      </c>
      <c r="E71" s="60">
        <f t="shared" si="23"/>
        <v>6.0880425098853781</v>
      </c>
      <c r="F71" s="61" cm="1">
        <f t="array" ref="F71">OptionRho(Type,A71,Sd,Td,Id,Vd,0)</f>
        <v>0.22717244254718122</v>
      </c>
      <c r="L71" s="39">
        <f t="shared" si="18"/>
        <v>-1.2962903060955309</v>
      </c>
      <c r="AA71" s="65">
        <v>68</v>
      </c>
      <c r="AB71" s="60">
        <f t="shared" si="19"/>
        <v>0.9995330021394776</v>
      </c>
      <c r="AC71" s="60">
        <f t="shared" si="20"/>
        <v>2.5860657997997088E-4</v>
      </c>
      <c r="AD71" s="60" cm="1">
        <f t="array" ref="AD71">OptionTheta(Type,AA71,Sddeux,Tddeux,Iddeux,Vddeux,0)</f>
        <v>2.5850405919069803E-3</v>
      </c>
      <c r="AE71" s="60">
        <f t="shared" si="21"/>
        <v>4.1127212673272726E-2</v>
      </c>
      <c r="AF71" s="61" cm="1">
        <f t="array" ref="AF71">OptionRho(Type,AA71,Sddeux,Tddeux,Iddeux,Vddeux,0)</f>
        <v>4.9867533660414014E-2</v>
      </c>
      <c r="AL71" s="39">
        <f t="shared" si="22"/>
        <v>-3.1726573068848762</v>
      </c>
    </row>
    <row r="72" spans="1:38" x14ac:dyDescent="0.2">
      <c r="A72" s="65">
        <v>69</v>
      </c>
      <c r="B72" s="60">
        <f t="shared" si="16"/>
        <v>0.95269075517050583</v>
      </c>
      <c r="C72" s="60">
        <f t="shared" si="17"/>
        <v>6.7413665682685402E-3</v>
      </c>
      <c r="D72" s="60" cm="1">
        <f t="array" ref="D72">OptionTheta(Type,A72,Sd,Td,Id,Vd,0)</f>
        <v>-1.4404503352053947E-3</v>
      </c>
      <c r="E72" s="60">
        <f t="shared" si="23"/>
        <v>5.5552788868654925</v>
      </c>
      <c r="F72" s="61" cm="1">
        <f t="array" ref="F72">OptionRho(Type,A72,Sd,Td,Id,Vd,0)</f>
        <v>0.229634927017181</v>
      </c>
      <c r="L72" s="39">
        <f t="shared" si="18"/>
        <v>-1.3651097065480597</v>
      </c>
      <c r="AA72" s="65">
        <v>69</v>
      </c>
      <c r="AB72" s="60">
        <f t="shared" si="19"/>
        <v>0.99973347521738687</v>
      </c>
      <c r="AC72" s="60">
        <f t="shared" si="20"/>
        <v>1.5134435906441986E-4</v>
      </c>
      <c r="AD72" s="60" cm="1">
        <f t="array" ref="AD72">OptionTheta(Type,AA72,Sddeux,Tddeux,Iddeux,Vddeux,0)</f>
        <v>2.6443845782216308E-3</v>
      </c>
      <c r="AE72" s="60">
        <f t="shared" si="21"/>
        <v>2.4943314209145626E-2</v>
      </c>
      <c r="AF72" s="61" cm="1">
        <f t="array" ref="AF72">OptionRho(Type,AA72,Sddeux,Tddeux,Iddeux,Vddeux,0)</f>
        <v>4.9881257162932596E-2</v>
      </c>
      <c r="AL72" s="39">
        <f t="shared" si="22"/>
        <v>-3.3265421644675115</v>
      </c>
    </row>
    <row r="73" spans="1:38" x14ac:dyDescent="0.2">
      <c r="A73" s="65">
        <v>70</v>
      </c>
      <c r="B73" s="60">
        <f t="shared" si="16"/>
        <v>0.95901354984944465</v>
      </c>
      <c r="C73" s="60">
        <f t="shared" si="17"/>
        <v>5.919165934192611E-3</v>
      </c>
      <c r="D73" s="60" cm="1">
        <f t="array" ref="D73">OptionTheta(Type,A73,Sd,Td,Id,Vd,0)</f>
        <v>-1.0352029204864766E-3</v>
      </c>
      <c r="E73" s="60">
        <f t="shared" si="23"/>
        <v>5.0523525484088081</v>
      </c>
      <c r="F73" s="61" cm="1">
        <f t="array" ref="F73">OptionRho(Type,A73,Sd,Td,Id,Vd,0)</f>
        <v>0.23183175562797664</v>
      </c>
      <c r="L73" s="39">
        <f t="shared" si="18"/>
        <v>-1.4329388653820094</v>
      </c>
      <c r="AA73" s="65">
        <v>70</v>
      </c>
      <c r="AB73" s="60">
        <f t="shared" si="19"/>
        <v>0.9998499680334002</v>
      </c>
      <c r="AC73" s="60">
        <f t="shared" si="20"/>
        <v>8.7212234796221953E-5</v>
      </c>
      <c r="AD73" s="60" cm="1">
        <f t="array" ref="AD73">OptionTheta(Type,AA73,Sddeux,Tddeux,Iddeux,Vddeux,0)</f>
        <v>2.6809771618310934E-3</v>
      </c>
      <c r="AE73" s="60">
        <f t="shared" si="21"/>
        <v>1.4888143418308188E-2</v>
      </c>
      <c r="AF73" s="61" cm="1">
        <f t="array" ref="AF73">OptionRho(Type,AA73,Sddeux,Tddeux,Iddeux,Vddeux,0)</f>
        <v>4.9889348092045802E-2</v>
      </c>
      <c r="AL73" s="39">
        <f t="shared" si="22"/>
        <v>-3.4782127744768534</v>
      </c>
    </row>
    <row r="74" spans="1:38" x14ac:dyDescent="0.2">
      <c r="A74" s="65">
        <v>71</v>
      </c>
      <c r="B74" s="60">
        <f t="shared" si="16"/>
        <v>0.96455791640141542</v>
      </c>
      <c r="C74" s="60">
        <f t="shared" si="17"/>
        <v>5.1834458670398159E-3</v>
      </c>
      <c r="D74" s="60" cm="1">
        <f t="array" ref="D74">OptionTheta(Type,A74,Sd,Td,Id,Vd,0)</f>
        <v>-6.5943951884505432E-4</v>
      </c>
      <c r="E74" s="60">
        <f t="shared" si="23"/>
        <v>4.5804719978429098</v>
      </c>
      <c r="F74" s="61" cm="1">
        <f t="array" ref="F74">OptionRho(Type,A74,Sd,Td,Id,Vd,0)</f>
        <v>0.23378583833255054</v>
      </c>
      <c r="L74" s="39">
        <f t="shared" si="18"/>
        <v>-1.4998058759917992</v>
      </c>
      <c r="AA74" s="65">
        <v>71</v>
      </c>
      <c r="AB74" s="60">
        <f t="shared" si="19"/>
        <v>0.99991664676756065</v>
      </c>
      <c r="AC74" s="60">
        <f t="shared" si="20"/>
        <v>4.9522819205598483E-5</v>
      </c>
      <c r="AD74" s="60" cm="1">
        <f t="array" ref="AD74">OptionTheta(Type,AA74,Sddeux,Tddeux,Iddeux,Vddeux,0)</f>
        <v>2.703142225765513E-3</v>
      </c>
      <c r="AE74" s="60">
        <f t="shared" si="21"/>
        <v>8.752397244770449E-3</v>
      </c>
      <c r="AF74" s="61" cm="1">
        <f t="array" ref="AF74">OptionRho(Type,AA74,Sddeux,Tddeux,Iddeux,Vddeux,0)</f>
        <v>4.9894045816355315E-2</v>
      </c>
      <c r="AL74" s="39">
        <f t="shared" si="22"/>
        <v>-3.6277319556525427</v>
      </c>
    </row>
    <row r="75" spans="1:38" x14ac:dyDescent="0.2">
      <c r="A75" s="65">
        <v>72</v>
      </c>
      <c r="B75" s="60">
        <f t="shared" si="16"/>
        <v>0.96940711378646949</v>
      </c>
      <c r="C75" s="60">
        <f t="shared" si="17"/>
        <v>4.527740833334599E-3</v>
      </c>
      <c r="D75" s="60" cm="1">
        <f t="array" ref="D75">OptionTheta(Type,A75,Sd,Td,Id,Vd,0)</f>
        <v>-3.1275279087598554E-4</v>
      </c>
      <c r="E75" s="60">
        <f t="shared" si="23"/>
        <v>4.1401982907704813</v>
      </c>
      <c r="F75" s="61" cm="1">
        <f t="array" ref="F75">OptionRho(Type,A75,Sd,Td,Id,Vd,0)</f>
        <v>0.23551915323264008</v>
      </c>
      <c r="L75" s="39">
        <f t="shared" si="18"/>
        <v>-1.5657376529494957</v>
      </c>
      <c r="AA75" s="65">
        <v>72</v>
      </c>
      <c r="AB75" s="60">
        <f t="shared" si="19"/>
        <v>0.99995426891108086</v>
      </c>
      <c r="AC75" s="60">
        <f t="shared" si="20"/>
        <v>2.7730931098402217E-5</v>
      </c>
      <c r="AD75" s="60" cm="1">
        <f t="array" ref="AD75">OptionTheta(Type,AA75,Sddeux,Tddeux,Iddeux,Vddeux,0)</f>
        <v>2.7163441321713731E-3</v>
      </c>
      <c r="AE75" s="60">
        <f t="shared" si="21"/>
        <v>5.0714719663193285E-3</v>
      </c>
      <c r="AF75" s="61" cm="1">
        <f t="array" ref="AF75">OptionRho(Type,AA75,Sddeux,Tddeux,Iddeux,Vddeux,0)</f>
        <v>4.9896733992459329E-2</v>
      </c>
      <c r="AL75" s="39">
        <f t="shared" si="22"/>
        <v>-3.7751598908073065</v>
      </c>
    </row>
    <row r="76" spans="1:38" x14ac:dyDescent="0.2">
      <c r="A76" s="65">
        <v>73</v>
      </c>
      <c r="B76" s="60">
        <f t="shared" si="16"/>
        <v>0.97363789629528019</v>
      </c>
      <c r="C76" s="60">
        <f t="shared" si="17"/>
        <v>3.9455336123216441E-3</v>
      </c>
      <c r="D76" s="60" cm="1">
        <f t="array" ref="D76">OptionTheta(Type,A76,Sd,Td,Id,Vd,0)</f>
        <v>5.620793148030603E-6</v>
      </c>
      <c r="E76" s="60">
        <f t="shared" si="23"/>
        <v>3.7315429138670662</v>
      </c>
      <c r="F76" s="61" cm="1">
        <f t="array" ref="F76">OptionRho(Type,A76,Sd,Td,Id,Vd,0)</f>
        <v>0.23705256935045574</v>
      </c>
      <c r="L76" s="39">
        <f t="shared" si="18"/>
        <v>-1.6307599970485969</v>
      </c>
      <c r="AA76" s="65">
        <v>73</v>
      </c>
      <c r="AB76" s="60">
        <f t="shared" si="19"/>
        <v>0.99997520875155654</v>
      </c>
      <c r="AC76" s="60">
        <f t="shared" si="20"/>
        <v>1.5323301234480924E-5</v>
      </c>
      <c r="AD76" s="60" cm="1">
        <f t="array" ref="AD76">OptionTheta(Type,AA76,Sddeux,Tddeux,Iddeux,Vddeux,0)</f>
        <v>2.7240833364179412E-3</v>
      </c>
      <c r="AE76" s="60">
        <f t="shared" si="21"/>
        <v>2.8984447609321905E-3</v>
      </c>
      <c r="AF76" s="61" cm="1">
        <f t="array" ref="AF76">OptionRho(Type,AA76,Sddeux,Tddeux,Iddeux,Vddeux,0)</f>
        <v>4.9898251102254168E-2</v>
      </c>
      <c r="AL76" s="39">
        <f t="shared" si="22"/>
        <v>-3.9205542722692783</v>
      </c>
    </row>
    <row r="77" spans="1:38" x14ac:dyDescent="0.2">
      <c r="A77" s="65">
        <v>74</v>
      </c>
      <c r="B77" s="60">
        <f t="shared" si="16"/>
        <v>0.97732053563492483</v>
      </c>
      <c r="C77" s="60">
        <f t="shared" si="17"/>
        <v>3.4303970053389922E-3</v>
      </c>
      <c r="D77" s="60" cm="1">
        <f t="array" ref="D77">OptionTheta(Type,A77,Sd,Td,Id,Vd,0)</f>
        <v>2.9672457202109726E-4</v>
      </c>
      <c r="E77" s="60">
        <f t="shared" si="23"/>
        <v>3.3540609981308842</v>
      </c>
      <c r="F77" s="61" cm="1">
        <f t="array" ref="F77">OptionRho(Type,A77,Sd,Td,Id,Vd,0)</f>
        <v>0.23840572471083374</v>
      </c>
      <c r="L77" s="39">
        <f t="shared" si="18"/>
        <v>-1.694897655922635</v>
      </c>
      <c r="AA77" s="65">
        <v>74</v>
      </c>
      <c r="AB77" s="60">
        <f t="shared" si="19"/>
        <v>0.99998671321537613</v>
      </c>
      <c r="AC77" s="60">
        <f t="shared" si="20"/>
        <v>8.3608609692997548E-6</v>
      </c>
      <c r="AD77" s="60" cm="1">
        <f t="array" ref="AD77">OptionTheta(Type,AA77,Sddeux,Tddeux,Iddeux,Vddeux,0)</f>
        <v>2.7285524348105517E-3</v>
      </c>
      <c r="AE77" s="60">
        <f t="shared" si="21"/>
        <v>1.6349616469626012E-3</v>
      </c>
      <c r="AF77" s="61" cm="1">
        <f t="array" ref="AF77">OptionRho(Type,AA77,Sddeux,Tddeux,Iddeux,Vddeux,0)</f>
        <v>4.9899096103295314E-2</v>
      </c>
      <c r="AL77" s="39">
        <f t="shared" si="22"/>
        <v>-4.0639704374293206</v>
      </c>
    </row>
    <row r="78" spans="1:38" x14ac:dyDescent="0.2">
      <c r="A78" s="65">
        <v>75</v>
      </c>
      <c r="B78" s="60">
        <f t="shared" si="16"/>
        <v>0.98051896793979354</v>
      </c>
      <c r="C78" s="60">
        <f t="shared" si="17"/>
        <v>2.9761027058026893E-3</v>
      </c>
      <c r="D78" s="60" cm="1">
        <f t="array" ref="D78">OptionTheta(Type,A78,Sd,Td,Id,Vd,0)</f>
        <v>5.6181317419050207E-4</v>
      </c>
      <c r="E78" s="60">
        <f t="shared" si="23"/>
        <v>3.0069380613896142</v>
      </c>
      <c r="F78" s="61" cm="1">
        <f t="array" ref="F78">OptionRho(Type,A78,Sd,Td,Id,Vd,0)</f>
        <v>0.23959695149645976</v>
      </c>
      <c r="L78" s="39">
        <f t="shared" si="18"/>
        <v>-1.7581743805950456</v>
      </c>
      <c r="AA78" s="65">
        <v>75</v>
      </c>
      <c r="AB78" s="60">
        <f t="shared" si="19"/>
        <v>0.99999295626813556</v>
      </c>
      <c r="AC78" s="60">
        <f t="shared" si="20"/>
        <v>4.5074169246720184E-6</v>
      </c>
      <c r="AD78" s="60" cm="1">
        <f t="array" ref="AD78">OptionTheta(Type,AA78,Sddeux,Tddeux,Iddeux,Vddeux,0)</f>
        <v>2.7310966518348228E-3</v>
      </c>
      <c r="AE78" s="60">
        <f t="shared" si="21"/>
        <v>9.1082364079182081E-4</v>
      </c>
      <c r="AF78" s="61" cm="1">
        <f t="array" ref="AF78">OptionRho(Type,AA78,Sddeux,Tddeux,Iddeux,Vddeux,0)</f>
        <v>4.9899560891438405E-2</v>
      </c>
      <c r="AL78" s="39">
        <f t="shared" si="22"/>
        <v>-4.2054614951903693</v>
      </c>
    </row>
    <row r="79" spans="1:38" x14ac:dyDescent="0.2">
      <c r="A79" s="65">
        <v>76</v>
      </c>
      <c r="B79" s="60">
        <f t="shared" si="16"/>
        <v>0.98329103506020088</v>
      </c>
      <c r="C79" s="60">
        <f t="shared" si="17"/>
        <v>2.5767017116355155E-3</v>
      </c>
      <c r="D79" s="60" cm="1">
        <f t="array" ref="D79">OptionTheta(Type,A79,Sd,Td,Id,Vd,0)</f>
        <v>8.0229219982756912E-4</v>
      </c>
      <c r="E79" s="60">
        <f t="shared" si="23"/>
        <v>2.689069098263527</v>
      </c>
      <c r="F79" s="61" cm="1">
        <f t="array" ref="F79">OptionRho(Type,A79,Sd,Td,Id,Vd,0)</f>
        <v>0.24064324045634147</v>
      </c>
      <c r="L79" s="39">
        <f t="shared" si="18"/>
        <v>-1.8206129782836653</v>
      </c>
      <c r="AA79" s="65">
        <v>76</v>
      </c>
      <c r="AB79" s="60">
        <f t="shared" si="19"/>
        <v>0.99999630457683442</v>
      </c>
      <c r="AC79" s="60">
        <f t="shared" si="20"/>
        <v>2.402348680847245E-6</v>
      </c>
      <c r="AD79" s="60" cm="1">
        <f t="array" ref="AD79">OptionTheta(Type,AA79,Sddeux,Tddeux,Iddeux,Vddeux,0)</f>
        <v>2.7325256214199385E-3</v>
      </c>
      <c r="AE79" s="60">
        <f t="shared" si="21"/>
        <v>5.0142254120831673E-4</v>
      </c>
      <c r="AF79" s="61" cm="1">
        <f t="array" ref="AF79">OptionRho(Type,AA79,Sddeux,Tddeux,Iddeux,Vddeux,0)</f>
        <v>4.989981351437018E-2</v>
      </c>
      <c r="AL79" s="39">
        <f t="shared" si="22"/>
        <v>-4.3450784440418841</v>
      </c>
    </row>
    <row r="80" spans="1:38" x14ac:dyDescent="0.2">
      <c r="A80" s="65">
        <v>77</v>
      </c>
      <c r="B80" s="60">
        <f t="shared" si="16"/>
        <v>0.98568879382627905</v>
      </c>
      <c r="C80" s="60">
        <f t="shared" si="17"/>
        <v>2.2265805598286181E-3</v>
      </c>
      <c r="D80" s="60" cm="1">
        <f t="array" ref="D80">OptionTheta(Type,A80,Sd,Td,Id,Vd,0)</f>
        <v>1.0196660906378126E-3</v>
      </c>
      <c r="E80" s="60">
        <f t="shared" si="23"/>
        <v>2.399129356530981</v>
      </c>
      <c r="F80" s="61" cm="1">
        <f t="array" ref="F80">OptionRho(Type,A80,Sd,Td,Id,Vd,0)</f>
        <v>0.24156023733696896</v>
      </c>
      <c r="L80" s="39">
        <f t="shared" si="18"/>
        <v>-1.8822353617536578</v>
      </c>
      <c r="AA80" s="65">
        <v>77</v>
      </c>
      <c r="AB80" s="60">
        <f t="shared" si="19"/>
        <v>0.99999808039621119</v>
      </c>
      <c r="AC80" s="60">
        <f t="shared" si="20"/>
        <v>1.2665330132330551E-6</v>
      </c>
      <c r="AD80" s="60" cm="1">
        <f t="array" ref="AD80">OptionTheta(Type,AA80,Sddeux,Tddeux,Iddeux,Vddeux,0)</f>
        <v>2.7333179947101678E-3</v>
      </c>
      <c r="AE80" s="60">
        <f t="shared" si="21"/>
        <v>2.7293659056261247E-4</v>
      </c>
      <c r="AF80" s="61" cm="1">
        <f t="array" ref="AF80">OptionRho(Type,AA80,Sddeux,Tddeux,Iddeux,Vddeux,0)</f>
        <v>4.9899949270490351E-2</v>
      </c>
      <c r="AL80" s="39">
        <f t="shared" si="22"/>
        <v>-4.4828702824163464</v>
      </c>
    </row>
    <row r="81" spans="1:38" x14ac:dyDescent="0.2">
      <c r="A81" s="65">
        <v>78</v>
      </c>
      <c r="B81" s="60">
        <f t="shared" si="16"/>
        <v>0.98775887115186245</v>
      </c>
      <c r="C81" s="60">
        <f t="shared" si="17"/>
        <v>1.9204974185752296E-3</v>
      </c>
      <c r="D81" s="60" cm="1">
        <f t="array" ref="D81">OptionTheta(Type,A81,Sd,Td,Id,Vd,0)</f>
        <v>1.2154939066881946E-3</v>
      </c>
      <c r="E81" s="60">
        <f t="shared" si="23"/>
        <v>2.1356365603135679</v>
      </c>
      <c r="F81" s="61" cm="1">
        <f t="array" ref="F81">OptionRho(Type,A81,Sd,Td,Id,Vd,0)</f>
        <v>0.24236226479967932</v>
      </c>
      <c r="L81" s="39">
        <f t="shared" si="18"/>
        <v>-1.9430625954860958</v>
      </c>
      <c r="AA81" s="65">
        <v>78</v>
      </c>
      <c r="AB81" s="60">
        <f t="shared" si="19"/>
        <v>0.99999901225767829</v>
      </c>
      <c r="AC81" s="60">
        <f t="shared" si="20"/>
        <v>6.6084191053759188E-7</v>
      </c>
      <c r="AD81" s="60" cm="1">
        <f t="array" ref="AD81">OptionTheta(Type,AA81,Sddeux,Tddeux,Iddeux,Vddeux,0)</f>
        <v>2.7337520643667384E-3</v>
      </c>
      <c r="AE81" s="60">
        <f t="shared" si="21"/>
        <v>1.4697422980954435E-4</v>
      </c>
      <c r="AF81" s="61" cm="1">
        <f t="array" ref="AF81">OptionRho(Type,AA81,Sddeux,Tddeux,Iddeux,Vddeux,0)</f>
        <v>4.9900021439606326E-2</v>
      </c>
      <c r="AL81" s="39">
        <f t="shared" si="22"/>
        <v>-4.6188841119253459</v>
      </c>
    </row>
    <row r="82" spans="1:38" x14ac:dyDescent="0.2">
      <c r="A82" s="65">
        <v>79</v>
      </c>
      <c r="B82" s="60">
        <f t="shared" si="16"/>
        <v>0.98954284671644044</v>
      </c>
      <c r="C82" s="60">
        <f t="shared" si="17"/>
        <v>1.6536017366799462E-3</v>
      </c>
      <c r="D82" s="60" cm="1">
        <f t="array" ref="D82">OptionTheta(Type,A82,Sd,Td,Id,Vd,0)</f>
        <v>1.3913525380678472E-3</v>
      </c>
      <c r="E82" s="60">
        <f t="shared" si="23"/>
        <v>1.8970046699590835</v>
      </c>
      <c r="F82" s="61" cm="1">
        <f t="array" ref="F82">OptionRho(Type,A82,Sd,Td,Id,Vd,0)</f>
        <v>0.24306236403316089</v>
      </c>
      <c r="L82" s="39">
        <f t="shared" si="18"/>
        <v>-2.0031149389056346</v>
      </c>
      <c r="AA82" s="65">
        <v>79</v>
      </c>
      <c r="AB82" s="60">
        <f t="shared" si="19"/>
        <v>0.99999949632512886</v>
      </c>
      <c r="AC82" s="60">
        <f t="shared" si="20"/>
        <v>3.4142572263727276E-7</v>
      </c>
      <c r="AD82" s="60" cm="1">
        <f t="array" ref="AD82">OptionTheta(Type,AA82,Sddeux,Tddeux,Iddeux,Vddeux,0)</f>
        <v>2.7339871247730393E-3</v>
      </c>
      <c r="AE82" s="60">
        <f t="shared" si="21"/>
        <v>7.8336418730119334E-5</v>
      </c>
      <c r="AF82" s="61" cm="1">
        <f t="array" ref="AF82">OptionRho(Type,AA82,Sddeux,Tddeux,Iddeux,Vddeux,0)</f>
        <v>4.9900059412461673E-2</v>
      </c>
      <c r="AL82" s="39">
        <f t="shared" si="22"/>
        <v>-4.7531652340195976</v>
      </c>
    </row>
    <row r="83" spans="1:38" x14ac:dyDescent="0.2">
      <c r="A83" s="65">
        <v>80</v>
      </c>
      <c r="B83" s="60">
        <f t="shared" si="16"/>
        <v>0.99107764847229252</v>
      </c>
      <c r="C83" s="60">
        <f t="shared" si="17"/>
        <v>1.4214407628897398E-3</v>
      </c>
      <c r="D83" s="60" cm="1">
        <f t="array" ref="D83">OptionTheta(Type,A83,Sd,Td,Id,Vd,0)</f>
        <v>1.5488067517532948E-3</v>
      </c>
      <c r="E83" s="60">
        <f t="shared" si="23"/>
        <v>1.6815895156131</v>
      </c>
      <c r="F83" s="61" cm="1">
        <f t="array" ref="F83">OptionRho(Type,A83,Sd,Td,Id,Vd,0)</f>
        <v>0.24367235102554941</v>
      </c>
      <c r="L83" s="39">
        <f t="shared" si="18"/>
        <v>-2.0624118868892318</v>
      </c>
      <c r="AA83" s="65">
        <v>80</v>
      </c>
      <c r="AB83" s="60">
        <f t="shared" si="19"/>
        <v>0.99999974536794434</v>
      </c>
      <c r="AC83" s="60">
        <f t="shared" si="20"/>
        <v>1.7475062923342487E-7</v>
      </c>
      <c r="AD83" s="60" cm="1">
        <f t="array" ref="AD83">OptionTheta(Type,AA83,Sddeux,Tddeux,Iddeux,Vddeux,0)</f>
        <v>2.7341130295074653E-3</v>
      </c>
      <c r="AE83" s="60">
        <f t="shared" si="21"/>
        <v>4.1346615861545281E-5</v>
      </c>
      <c r="AF83" s="61" cm="1">
        <f t="array" ref="AF83">OptionRho(Type,AA83,Sddeux,Tddeux,Iddeux,Vddeux,0)</f>
        <v>4.9900079197572209E-2</v>
      </c>
      <c r="AL83" s="39">
        <f t="shared" si="22"/>
        <v>-4.8857572405691894</v>
      </c>
    </row>
    <row r="84" spans="1:38" x14ac:dyDescent="0.2">
      <c r="A84" s="65">
        <v>81</v>
      </c>
      <c r="B84" s="60">
        <f t="shared" si="16"/>
        <v>0.99239594933342401</v>
      </c>
      <c r="C84" s="60">
        <f t="shared" si="17"/>
        <v>1.219955840206607E-3</v>
      </c>
      <c r="D84" s="60" cm="1">
        <f t="array" ref="D84">OptionTheta(Type,A84,Sd,Td,Id,Vd,0)</f>
        <v>1.6893853992895195E-3</v>
      </c>
      <c r="E84" s="60">
        <f t="shared" si="23"/>
        <v>1.4877268171057061</v>
      </c>
      <c r="F84" s="61" cm="1">
        <f t="array" ref="F84">OptionRho(Type,A84,Sd,Td,Id,Vd,0)</f>
        <v>0.24420288319561856</v>
      </c>
      <c r="L84" s="39">
        <f t="shared" si="18"/>
        <v>-2.1209722077586002</v>
      </c>
      <c r="AA84" s="65">
        <v>81</v>
      </c>
      <c r="AB84" s="60">
        <f t="shared" si="19"/>
        <v>0.99999987232504628</v>
      </c>
      <c r="AC84" s="60">
        <f t="shared" si="20"/>
        <v>8.8646429436290795E-8</v>
      </c>
      <c r="AD84" s="60" cm="1">
        <f t="array" ref="AD84">OptionTheta(Type,AA84,Sddeux,Tddeux,Iddeux,Vddeux,0)</f>
        <v>2.7341797693009283E-3</v>
      </c>
      <c r="AE84" s="60">
        <f t="shared" si="21"/>
        <v>2.1620728548781511E-5</v>
      </c>
      <c r="AF84" s="61" cm="1">
        <f t="array" ref="AF84">OptionRho(Type,AA84,Sddeux,Tddeux,Iddeux,Vddeux,0)</f>
        <v>4.990008941049489E-2</v>
      </c>
      <c r="AL84" s="39">
        <f t="shared" si="22"/>
        <v>-5.016702098817297</v>
      </c>
    </row>
    <row r="85" spans="1:38" x14ac:dyDescent="0.2">
      <c r="A85" s="65">
        <v>82</v>
      </c>
      <c r="B85" s="60">
        <f t="shared" si="16"/>
        <v>0.99352655610433216</v>
      </c>
      <c r="C85" s="60">
        <f t="shared" si="17"/>
        <v>1.0454709748231861E-3</v>
      </c>
      <c r="D85" s="60" cm="1">
        <f t="array" ref="D85">OptionTheta(Type,A85,Sd,Td,Id,Vd,0)</f>
        <v>1.8145630781940768E-3</v>
      </c>
      <c r="E85" s="60">
        <f t="shared" si="23"/>
        <v>1.3137632181239201</v>
      </c>
      <c r="F85" s="61" cm="1">
        <f t="array" ref="F85">OptionRho(Type,A85,Sd,Td,Id,Vd,0)</f>
        <v>0.2446635327757094</v>
      </c>
      <c r="L85" s="39">
        <f t="shared" si="18"/>
        <v>-2.1788139789416583</v>
      </c>
      <c r="AA85" s="65">
        <v>82</v>
      </c>
      <c r="AB85" s="60">
        <f t="shared" si="19"/>
        <v>0.99999993648237373</v>
      </c>
      <c r="AC85" s="60">
        <f t="shared" si="20"/>
        <v>4.4587214116865608E-8</v>
      </c>
      <c r="AD85" s="60" cm="1">
        <f t="array" ref="AD85">OptionTheta(Type,AA85,Sddeux,Tddeux,Iddeux,Vddeux,0)</f>
        <v>2.734214798669048E-3</v>
      </c>
      <c r="AE85" s="60">
        <f t="shared" si="21"/>
        <v>1.1205866698549009E-5</v>
      </c>
      <c r="AF85" s="61" cm="1">
        <f t="array" ref="AF85">OptionRho(Type,AA85,Sddeux,Tddeux,Iddeux,Vddeux,0)</f>
        <v>4.9900094635672507E-2</v>
      </c>
      <c r="AL85" s="39">
        <f t="shared" si="22"/>
        <v>-5.1460402311216029</v>
      </c>
    </row>
    <row r="86" spans="1:38" x14ac:dyDescent="0.2">
      <c r="A86" s="65">
        <v>83</v>
      </c>
      <c r="B86" s="60">
        <f t="shared" si="16"/>
        <v>0.99449478401059654</v>
      </c>
      <c r="C86" s="60">
        <f t="shared" si="17"/>
        <v>8.9467579200141155E-4</v>
      </c>
      <c r="D86" s="60" cm="1">
        <f t="array" ref="D86">OptionTheta(Type,A86,Sd,Td,Id,Vd,0)</f>
        <v>1.9257465397418661E-3</v>
      </c>
      <c r="E86" s="60">
        <f t="shared" si="23"/>
        <v>1.1580810285423464</v>
      </c>
      <c r="F86" s="61" cm="1">
        <f t="array" ref="F86">OptionRho(Type,A86,Sd,Td,Id,Vd,0)</f>
        <v>0.24506286397629468</v>
      </c>
      <c r="L86" s="39">
        <f t="shared" si="18"/>
        <v>-2.2359546204725111</v>
      </c>
      <c r="AA86" s="65">
        <v>83</v>
      </c>
      <c r="AB86" s="60">
        <f t="shared" si="19"/>
        <v>0.99999996863555884</v>
      </c>
      <c r="AC86" s="60">
        <f t="shared" si="20"/>
        <v>2.2245574897180732E-8</v>
      </c>
      <c r="AD86" s="60" cm="1">
        <f t="array" ref="AD86">OptionTheta(Type,AA86,Sddeux,Tddeux,Iddeux,Vddeux,0)</f>
        <v>2.7342330123008357E-3</v>
      </c>
      <c r="AE86" s="60">
        <f t="shared" si="21"/>
        <v>5.7589975022822804E-6</v>
      </c>
      <c r="AF86" s="61" cm="1">
        <f t="array" ref="AF86">OptionRho(Type,AA86,Sddeux,Tddeux,Iddeux,Vddeux,0)</f>
        <v>4.9900097286462559E-2</v>
      </c>
      <c r="AL86" s="39">
        <f t="shared" si="22"/>
        <v>-5.2738105898625385</v>
      </c>
    </row>
    <row r="87" spans="1:38" x14ac:dyDescent="0.2">
      <c r="A87" s="65">
        <v>84</v>
      </c>
      <c r="B87" s="60">
        <f t="shared" si="16"/>
        <v>0.99532281212352547</v>
      </c>
      <c r="C87" s="60">
        <f t="shared" si="17"/>
        <v>7.6460463243067283E-4</v>
      </c>
      <c r="D87" s="60" cm="1">
        <f t="array" ref="D87">OptionTheta(Type,A87,Sd,Td,Id,Vd,0)</f>
        <v>2.0242651595958768E-3</v>
      </c>
      <c r="E87" s="60">
        <f t="shared" si="23"/>
        <v>1.0191173953257417</v>
      </c>
      <c r="F87" s="61" cm="1">
        <f t="array" ref="F87">OptionRho(Type,A87,Sd,Td,Id,Vd,0)</f>
        <v>0.24540851153547058</v>
      </c>
      <c r="L87" s="39">
        <f t="shared" si="18"/>
        <v>-2.2924109264853003</v>
      </c>
      <c r="AA87" s="65">
        <v>84</v>
      </c>
      <c r="AB87" s="60">
        <f t="shared" si="19"/>
        <v>0.99999998462243767</v>
      </c>
      <c r="AC87" s="60">
        <f t="shared" si="20"/>
        <v>1.1013624653781189E-8</v>
      </c>
      <c r="AD87" s="60" cm="1">
        <f t="array" ref="AD87">OptionTheta(Type,AA87,Sddeux,Tddeux,Iddeux,Vddeux,0)</f>
        <v>2.7342423982538743E-3</v>
      </c>
      <c r="AE87" s="60">
        <f t="shared" si="21"/>
        <v>2.9359425758578683E-6</v>
      </c>
      <c r="AF87" s="61" cm="1">
        <f t="array" ref="AF87">OptionRho(Type,AA87,Sddeux,Tddeux,Iddeux,Vddeux,0)</f>
        <v>4.9900098620438212E-2</v>
      </c>
      <c r="AL87" s="39">
        <f t="shared" si="22"/>
        <v>-5.400050727865664</v>
      </c>
    </row>
    <row r="88" spans="1:38" x14ac:dyDescent="0.2">
      <c r="A88" s="65">
        <v>85</v>
      </c>
      <c r="B88" s="60">
        <f t="shared" si="16"/>
        <v>0.99603001655951251</v>
      </c>
      <c r="C88" s="60">
        <f t="shared" si="17"/>
        <v>6.5261321847507453E-4</v>
      </c>
      <c r="D88" s="60" cm="1">
        <f t="array" ref="D88">OptionTheta(Type,A88,Sd,Td,Id,Vd,0)</f>
        <v>2.1113648284788204E-3</v>
      </c>
      <c r="E88" s="60">
        <f t="shared" si="23"/>
        <v>0.89537861864483415</v>
      </c>
      <c r="F88" s="61" cm="1">
        <f t="array" ref="F88">OptionRho(Type,A88,Sd,Td,Id,Vd,0)</f>
        <v>0.2457072587628695</v>
      </c>
      <c r="L88" s="39">
        <f t="shared" si="18"/>
        <v>-2.3481990948443716</v>
      </c>
      <c r="AA88" s="65">
        <v>85</v>
      </c>
      <c r="AB88" s="60">
        <f t="shared" si="19"/>
        <v>0.99999999251159399</v>
      </c>
      <c r="AC88" s="60">
        <f t="shared" si="20"/>
        <v>5.4129171984431893E-9</v>
      </c>
      <c r="AD88" s="60" cm="1">
        <f t="array" ref="AD88">OptionTheta(Type,AA88,Sddeux,Tddeux,Iddeux,Vddeux,0)</f>
        <v>2.7342471941300649E-3</v>
      </c>
      <c r="AE88" s="60">
        <f t="shared" si="21"/>
        <v>1.4852933366276893E-6</v>
      </c>
      <c r="AF88" s="61" cm="1">
        <f t="array" ref="AF88">OptionRho(Type,AA88,Sddeux,Tddeux,Iddeux,Vddeux,0)</f>
        <v>4.99000992866089E-2</v>
      </c>
      <c r="AL88" s="39">
        <f t="shared" si="22"/>
        <v>-5.5247968646567509</v>
      </c>
    </row>
    <row r="89" spans="1:38" x14ac:dyDescent="0.2">
      <c r="A89" s="65">
        <v>86</v>
      </c>
      <c r="B89" s="60">
        <f t="shared" si="16"/>
        <v>0.99663327961767689</v>
      </c>
      <c r="C89" s="60">
        <f t="shared" si="17"/>
        <v>5.5635403307530357E-4</v>
      </c>
      <c r="D89" s="60" cm="1">
        <f t="array" ref="D89">OptionTheta(Type,A89,Sd,Td,Id,Vd,0)</f>
        <v>2.1882046718313081E-3</v>
      </c>
      <c r="E89" s="60">
        <f t="shared" si="23"/>
        <v>0.78545030364271584</v>
      </c>
      <c r="F89" s="61" cm="1">
        <f t="array" ref="F89">OptionRho(Type,A89,Sd,Td,Id,Vd,0)</f>
        <v>0.24596511362663748</v>
      </c>
      <c r="L89" s="39">
        <f t="shared" si="18"/>
        <v>-2.4033347550415716</v>
      </c>
      <c r="AA89" s="65">
        <v>86</v>
      </c>
      <c r="AB89" s="60">
        <f t="shared" si="19"/>
        <v>0.99999999637688419</v>
      </c>
      <c r="AC89" s="60">
        <f t="shared" si="20"/>
        <v>2.6418036978625695E-9</v>
      </c>
      <c r="AD89" s="60" cm="1">
        <f t="array" ref="AD89">OptionTheta(Type,AA89,Sddeux,Tddeux,Iddeux,Vddeux,0)</f>
        <v>2.734249624909963E-3</v>
      </c>
      <c r="AE89" s="60">
        <f t="shared" si="21"/>
        <v>7.4592989114531997E-7</v>
      </c>
      <c r="AF89" s="61" cm="1">
        <f t="array" ref="AF89">OptionRho(Type,AA89,Sddeux,Tddeux,Iddeux,Vddeux,0)</f>
        <v>4.9900099616862162E-2</v>
      </c>
      <c r="AL89" s="39">
        <f t="shared" si="22"/>
        <v>-5.6480839488420198</v>
      </c>
    </row>
    <row r="90" spans="1:38" x14ac:dyDescent="0.2">
      <c r="A90" s="65">
        <v>87</v>
      </c>
      <c r="B90" s="60">
        <f t="shared" si="16"/>
        <v>0.99714727403461778</v>
      </c>
      <c r="C90" s="60">
        <f t="shared" si="17"/>
        <v>4.7375130531308781E-4</v>
      </c>
      <c r="D90" s="60" cm="1">
        <f t="array" ref="D90">OptionTheta(Type,A90,Sd,Td,Id,Vd,0)</f>
        <v>2.2558560654279665E-3</v>
      </c>
      <c r="E90" s="60">
        <f t="shared" si="23"/>
        <v>0.68800399633728326</v>
      </c>
      <c r="F90" s="61" cm="1">
        <f t="array" ref="F90">OptionRho(Type,A90,Sd,Td,Id,Vd,0)</f>
        <v>0.24618738180684299</v>
      </c>
      <c r="L90" s="39">
        <f t="shared" si="18"/>
        <v>-2.4578329944808668</v>
      </c>
      <c r="AA90" s="65">
        <v>87</v>
      </c>
      <c r="AB90" s="60">
        <f t="shared" si="19"/>
        <v>0.99999999825779606</v>
      </c>
      <c r="AC90" s="60">
        <f t="shared" si="20"/>
        <v>1.2808084413514108E-9</v>
      </c>
      <c r="AD90" s="60" cm="1">
        <f t="array" ref="AD90">OptionTheta(Type,AA90,Sddeux,Tddeux,Iddeux,Vddeux,0)</f>
        <v>2.7342508475046903E-3</v>
      </c>
      <c r="AE90" s="60">
        <f t="shared" si="21"/>
        <v>3.7201008896848652E-7</v>
      </c>
      <c r="AF90" s="61" cm="1">
        <f t="array" ref="AF90">OptionRho(Type,AA90,Sddeux,Tddeux,Iddeux,Vddeux,0)</f>
        <v>4.9900099779448565E-2</v>
      </c>
      <c r="AL90" s="39">
        <f t="shared" si="22"/>
        <v>-5.7699457168823436</v>
      </c>
    </row>
    <row r="91" spans="1:38" x14ac:dyDescent="0.2">
      <c r="A91" s="65">
        <v>88</v>
      </c>
      <c r="B91" s="60">
        <f t="shared" si="16"/>
        <v>0.99758472232008277</v>
      </c>
      <c r="C91" s="60">
        <f t="shared" si="17"/>
        <v>4.0297628447789994E-4</v>
      </c>
      <c r="D91" s="60" cm="1">
        <f t="array" ref="D91">OptionTheta(Type,A91,Sd,Td,Id,Vd,0)</f>
        <v>2.3153034745157343E-3</v>
      </c>
      <c r="E91" s="60">
        <f t="shared" si="23"/>
        <v>0.60180089996741892</v>
      </c>
      <c r="F91" s="61" cm="1">
        <f t="array" ref="F91">OptionRho(Type,A91,Sd,Td,Id,Vd,0)</f>
        <v>0.24637873595327539</v>
      </c>
      <c r="L91" s="39">
        <f t="shared" si="18"/>
        <v>-2.5117083832608795</v>
      </c>
      <c r="AA91" s="65">
        <v>88</v>
      </c>
      <c r="AB91" s="60">
        <f t="shared" si="19"/>
        <v>0.99999999916714966</v>
      </c>
      <c r="AC91" s="60">
        <f t="shared" si="20"/>
        <v>6.1705229271218463E-10</v>
      </c>
      <c r="AD91" s="60" cm="1">
        <f t="array" ref="AD91">OptionTheta(Type,AA91,Sddeux,Tddeux,Iddeux,Vddeux,0)</f>
        <v>2.7342514579420827E-3</v>
      </c>
      <c r="AE91" s="60">
        <f t="shared" si="21"/>
        <v>1.8429998954517379E-7</v>
      </c>
      <c r="AF91" s="61" cm="1">
        <f t="array" ref="AF91">OptionRho(Type,AA91,Sddeux,Tddeux,Iddeux,Vddeux,0)</f>
        <v>4.9900099858962162E-2</v>
      </c>
      <c r="AL91" s="39">
        <f t="shared" si="22"/>
        <v>-5.8904147485086824</v>
      </c>
    </row>
    <row r="92" spans="1:38" x14ac:dyDescent="0.2">
      <c r="A92" s="65">
        <v>89</v>
      </c>
      <c r="B92" s="60">
        <f t="shared" si="16"/>
        <v>0.99795663172745697</v>
      </c>
      <c r="C92" s="60">
        <f t="shared" si="17"/>
        <v>3.4242330647436402E-4</v>
      </c>
      <c r="D92" s="60" cm="1">
        <f t="array" ref="D92">OptionTheta(Type,A92,Sd,Td,Id,Vd,0)</f>
        <v>2.3674467043979272E-3</v>
      </c>
      <c r="E92" s="60">
        <f t="shared" si="23"/>
        <v>0.52569321013074821</v>
      </c>
      <c r="F92" s="61" cm="1">
        <f t="array" ref="F92">OptionRho(Type,A92,Sd,Td,Id,Vd,0)</f>
        <v>0.24654328064537451</v>
      </c>
      <c r="L92" s="39">
        <f t="shared" si="18"/>
        <v>-2.564974997557202</v>
      </c>
      <c r="AA92" s="65">
        <v>89</v>
      </c>
      <c r="AB92" s="60">
        <f t="shared" si="19"/>
        <v>0.99999999960407948</v>
      </c>
      <c r="AC92" s="60">
        <f t="shared" si="20"/>
        <v>2.9549299764428237E-10</v>
      </c>
      <c r="AD92" s="60" cm="1">
        <f t="array" ref="AD92">OptionTheta(Type,AA92,Sddeux,Tddeux,Iddeux,Vddeux,0)</f>
        <v>2.734251760616647E-3</v>
      </c>
      <c r="AE92" s="60">
        <f t="shared" si="21"/>
        <v>9.0729024319149454E-8</v>
      </c>
      <c r="AF92" s="61" cm="1">
        <f t="array" ref="AF92">OptionRho(Type,AA92,Sddeux,Tddeux,Iddeux,Vddeux,0)</f>
        <v>4.990009989760389E-2</v>
      </c>
      <c r="AL92" s="39">
        <f t="shared" si="22"/>
        <v>-6.0095225190065209</v>
      </c>
    </row>
    <row r="93" spans="1:38" x14ac:dyDescent="0.2">
      <c r="A93" s="65">
        <v>90</v>
      </c>
      <c r="B93" s="60">
        <f t="shared" si="16"/>
        <v>0.99827250584090765</v>
      </c>
      <c r="C93" s="60">
        <f t="shared" si="17"/>
        <v>2.9068700947879067E-4</v>
      </c>
      <c r="D93" s="60" cm="1">
        <f t="array" ref="D93">OptionTheta(Type,A93,Sd,Td,Id,Vd,0)</f>
        <v>2.4131042084832958E-3</v>
      </c>
      <c r="E93" s="60">
        <f t="shared" si="23"/>
        <v>0.45862354679496947</v>
      </c>
      <c r="F93" s="61" cm="1">
        <f t="array" ref="F93">OptionRho(Type,A93,Sd,Td,Id,Vd,0)</f>
        <v>0.24668461276285553</v>
      </c>
      <c r="L93" s="39">
        <f t="shared" si="18"/>
        <v>-2.6176464416983358</v>
      </c>
      <c r="AA93" s="65">
        <v>90</v>
      </c>
      <c r="AB93" s="60">
        <f t="shared" si="19"/>
        <v>0.99999999981278587</v>
      </c>
      <c r="AC93" s="60">
        <f t="shared" si="20"/>
        <v>1.4069772773874115E-10</v>
      </c>
      <c r="AD93" s="60" cm="1">
        <f t="array" ref="AD93">OptionTheta(Type,AA93,Sddeux,Tddeux,Iddeux,Vddeux,0)</f>
        <v>2.7342519097016019E-3</v>
      </c>
      <c r="AE93" s="60">
        <f t="shared" si="21"/>
        <v>4.4396404942369873E-8</v>
      </c>
      <c r="AF93" s="61" cm="1">
        <f t="array" ref="AF93">OptionRho(Type,AA93,Sddeux,Tddeux,Iddeux,Vddeux,0)</f>
        <v>4.9900099916270327E-2</v>
      </c>
      <c r="AL93" s="39">
        <f t="shared" si="22"/>
        <v>-6.127299448579179</v>
      </c>
    </row>
    <row r="94" spans="1:38" x14ac:dyDescent="0.2">
      <c r="A94" s="65">
        <v>91</v>
      </c>
      <c r="B94" s="60">
        <f t="shared" si="16"/>
        <v>0.99854053405612575</v>
      </c>
      <c r="C94" s="60">
        <f t="shared" si="17"/>
        <v>2.4654093646574838E-4</v>
      </c>
      <c r="D94" s="60" cm="1">
        <f t="array" ref="D94">OptionTheta(Type,A94,Sd,Td,Id,Vd,0)</f>
        <v>2.453017154258893E-3</v>
      </c>
      <c r="E94" s="60">
        <f t="shared" si="23"/>
        <v>0.39962290132469835</v>
      </c>
      <c r="F94" s="61" cm="1">
        <f t="array" ref="F94">OptionRho(Type,A94,Sd,Td,Id,Vd,0)</f>
        <v>0.24680587714344368</v>
      </c>
      <c r="L94" s="39">
        <f t="shared" si="18"/>
        <v>-2.6697358690219009</v>
      </c>
      <c r="AA94" s="65">
        <v>91</v>
      </c>
      <c r="AB94" s="60">
        <f t="shared" si="19"/>
        <v>0.99999999991192134</v>
      </c>
      <c r="AC94" s="60">
        <f t="shared" si="20"/>
        <v>6.6628976341134801E-11</v>
      </c>
      <c r="AD94" s="60" cm="1">
        <f t="array" ref="AD94">OptionTheta(Type,AA94,Sddeux,Tddeux,Iddeux,Vddeux,0)</f>
        <v>2.7342519826733269E-3</v>
      </c>
      <c r="AE94" s="60">
        <f t="shared" si="21"/>
        <v>2.1600035450046445E-8</v>
      </c>
      <c r="AF94" s="61" cm="1">
        <f t="array" ref="AF94">OptionRho(Type,AA94,Sddeux,Tddeux,Iddeux,Vddeux,0)</f>
        <v>4.9900099925235968E-2</v>
      </c>
      <c r="AL94" s="39">
        <f t="shared" si="22"/>
        <v>-6.2437749489837051</v>
      </c>
    </row>
    <row r="95" spans="1:38" x14ac:dyDescent="0.2">
      <c r="A95" s="65">
        <v>92</v>
      </c>
      <c r="B95" s="60">
        <f t="shared" si="16"/>
        <v>0.99876776041978177</v>
      </c>
      <c r="C95" s="60">
        <f t="shared" si="17"/>
        <v>2.0891766706801016E-4</v>
      </c>
      <c r="D95" s="60" cm="1">
        <f t="array" ref="D95">OptionTheta(Type,A95,Sd,Td,Id,Vd,0)</f>
        <v>2.4878539975524477E-3</v>
      </c>
      <c r="E95" s="60">
        <f t="shared" si="23"/>
        <v>0.34780745896668019</v>
      </c>
      <c r="F95" s="61" cm="1">
        <f t="array" ref="F95">OptionRho(Type,A95,Sd,Td,Id,Vd,0)</f>
        <v>0.24690981753487676</v>
      </c>
      <c r="L95" s="39">
        <f t="shared" si="18"/>
        <v>-2.7212560015910867</v>
      </c>
      <c r="AA95" s="65">
        <v>92</v>
      </c>
      <c r="AB95" s="60">
        <f t="shared" si="19"/>
        <v>0.99999999995876077</v>
      </c>
      <c r="AC95" s="60">
        <f t="shared" si="20"/>
        <v>3.1390008678225766E-11</v>
      </c>
      <c r="AD95" s="60" cm="1">
        <f t="array" ref="AD95">OptionTheta(Type,AA95,Sddeux,Tddeux,Iddeux,Vddeux,0)</f>
        <v>2.734252018176851E-3</v>
      </c>
      <c r="AE95" s="60">
        <f t="shared" si="21"/>
        <v>1.0451657160963378E-8</v>
      </c>
      <c r="AF95" s="61" cm="1">
        <f t="array" ref="AF95">OptionRho(Type,AA95,Sddeux,Tddeux,Iddeux,Vddeux,0)</f>
        <v>4.9900099929518861E-2</v>
      </c>
      <c r="AL95" s="39">
        <f t="shared" si="22"/>
        <v>-6.3589774676182058</v>
      </c>
    </row>
    <row r="96" spans="1:38" x14ac:dyDescent="0.2">
      <c r="A96" s="65">
        <v>93</v>
      </c>
      <c r="B96" s="60">
        <f t="shared" si="16"/>
        <v>0.99896023339646467</v>
      </c>
      <c r="C96" s="60">
        <f t="shared" si="17"/>
        <v>1.7689054678503215E-4</v>
      </c>
      <c r="D96" s="60" cm="1">
        <f t="array" ref="D96">OptionTheta(Type,A96,Sd,Td,Id,Vd,0)</f>
        <v>2.5182153603523732E-3</v>
      </c>
      <c r="E96" s="60">
        <f t="shared" si="23"/>
        <v>0.30237460309775788</v>
      </c>
      <c r="F96" s="61" cm="1">
        <f t="array" ref="F96">OptionRho(Type,A96,Sd,Td,Id,Vd,0)</f>
        <v>0.24699882294752115</v>
      </c>
      <c r="L96" s="39">
        <f t="shared" si="18"/>
        <v>-2.7722191488452852</v>
      </c>
      <c r="AA96" s="65">
        <v>93</v>
      </c>
      <c r="AB96" s="60">
        <f t="shared" si="19"/>
        <v>0.99999999998077971</v>
      </c>
      <c r="AC96" s="60">
        <f t="shared" si="20"/>
        <v>1.4715766507216299E-11</v>
      </c>
      <c r="AD96" s="60" cm="1">
        <f t="array" ref="AD96">OptionTheta(Type,AA96,Sddeux,Tddeux,Iddeux,Vddeux,0)</f>
        <v>2.7342520353524236E-3</v>
      </c>
      <c r="AE96" s="60">
        <f t="shared" si="21"/>
        <v>5.0309913534342622E-9</v>
      </c>
      <c r="AF96" s="61" cm="1">
        <f t="array" ref="AF96">OptionRho(Type,AA96,Sddeux,Tddeux,Iddeux,Vddeux,0)</f>
        <v>4.9900099931554233E-2</v>
      </c>
      <c r="AL96" s="39">
        <f t="shared" si="22"/>
        <v>-6.4729345292259257</v>
      </c>
    </row>
    <row r="97" spans="1:38" x14ac:dyDescent="0.2">
      <c r="A97" s="65">
        <v>94</v>
      </c>
      <c r="B97" s="60">
        <f t="shared" si="16"/>
        <v>0.99912313817008069</v>
      </c>
      <c r="C97" s="60">
        <f t="shared" si="17"/>
        <v>1.4965702460269928E-4</v>
      </c>
      <c r="D97" s="60" cm="1">
        <f t="array" ref="D97">OptionTheta(Type,A97,Sd,Td,Id,Vd,0)</f>
        <v>2.5446390471897049E-3</v>
      </c>
      <c r="E97" s="60">
        <f t="shared" si="23"/>
        <v>0.26259835780034774</v>
      </c>
      <c r="F97" s="61" cm="1">
        <f t="array" ref="F97">OptionRho(Type,A97,Sd,Td,Id,Vd,0)</f>
        <v>0.24707496958669189</v>
      </c>
      <c r="L97" s="39">
        <f t="shared" si="18"/>
        <v>-2.8226372252533061</v>
      </c>
      <c r="AA97" s="65">
        <v>94</v>
      </c>
      <c r="AB97" s="60">
        <f t="shared" si="19"/>
        <v>0.99999999999108091</v>
      </c>
      <c r="AC97" s="60">
        <f t="shared" si="20"/>
        <v>6.8666282205628093E-12</v>
      </c>
      <c r="AD97" s="60" cm="1">
        <f t="array" ref="AD97">OptionTheta(Type,AA97,Sddeux,Tddeux,Iddeux,Vddeux,0)</f>
        <v>2.7342520436165101E-3</v>
      </c>
      <c r="AE97" s="60">
        <f t="shared" si="21"/>
        <v>2.4097302470528624E-9</v>
      </c>
      <c r="AF97" s="61" cm="1">
        <f t="array" ref="AF97">OptionRho(Type,AA97,Sddeux,Tddeux,Iddeux,Vddeux,0)</f>
        <v>4.9900099932516755E-2</v>
      </c>
      <c r="AL97" s="39">
        <f t="shared" si="22"/>
        <v>-6.5856727753690381</v>
      </c>
    </row>
    <row r="98" spans="1:38" x14ac:dyDescent="0.2">
      <c r="A98" s="65">
        <v>95</v>
      </c>
      <c r="B98" s="60">
        <f t="shared" si="16"/>
        <v>0.99926091307545706</v>
      </c>
      <c r="C98" s="60">
        <f t="shared" si="17"/>
        <v>1.2652356769453E-4</v>
      </c>
      <c r="D98" s="60" cm="1">
        <f t="array" ref="D98">OptionTheta(Type,A98,Sd,Td,Id,Vd,0)</f>
        <v>2.5676050697227499E-3</v>
      </c>
      <c r="E98" s="60">
        <f t="shared" si="23"/>
        <v>0.22782448044697176</v>
      </c>
      <c r="F98" s="61" cm="1">
        <f t="array" ref="F98">OptionRho(Type,A98,Sd,Td,Id,Vd,0)</f>
        <v>0.24714005859468618</v>
      </c>
      <c r="L98" s="39">
        <f t="shared" si="18"/>
        <v>-2.8725217670325067</v>
      </c>
      <c r="AA98" s="65">
        <v>95</v>
      </c>
      <c r="AB98" s="60">
        <f t="shared" si="19"/>
        <v>0.9999999999958783</v>
      </c>
      <c r="AC98" s="60">
        <f t="shared" si="20"/>
        <v>3.1898831307923213E-12</v>
      </c>
      <c r="AD98" s="60" cm="1">
        <f t="array" ref="AD98">OptionTheta(Type,AA98,Sddeux,Tddeux,Iddeux,Vddeux,0)</f>
        <v>2.7342520475723414E-3</v>
      </c>
      <c r="AE98" s="60">
        <f t="shared" si="21"/>
        <v>1.148771695584633E-9</v>
      </c>
      <c r="AF98" s="61" cm="1">
        <f t="array" ref="AF98">OptionRho(Type,AA98,Sddeux,Tddeux,Iddeux,Vddeux,0)</f>
        <v>4.9900099932969802E-2</v>
      </c>
      <c r="AL98" s="39">
        <f t="shared" si="22"/>
        <v>-6.6972180018137593</v>
      </c>
    </row>
    <row r="99" spans="1:38" x14ac:dyDescent="0.2">
      <c r="A99" s="65">
        <v>96</v>
      </c>
      <c r="B99" s="60">
        <f t="shared" si="16"/>
        <v>0.99937735170844078</v>
      </c>
      <c r="C99" s="60">
        <f t="shared" si="17"/>
        <v>1.0689209141923514E-4</v>
      </c>
      <c r="D99" s="60" cm="1">
        <f t="array" ref="D99">OptionTheta(Type,A99,Sd,Td,Id,Vd,0)</f>
        <v>2.5875405789301332E-3</v>
      </c>
      <c r="E99" s="60">
        <f t="shared" si="23"/>
        <v>0.19746537611404036</v>
      </c>
      <c r="F99" s="61" cm="1">
        <f t="array" ref="F99">OptionRho(Type,A99,Sd,Td,Id,Vd,0)</f>
        <v>0.24719564986572093</v>
      </c>
      <c r="L99" s="39">
        <f t="shared" si="18"/>
        <v>-2.921883947992522</v>
      </c>
      <c r="AA99" s="65">
        <v>96</v>
      </c>
      <c r="AB99" s="60">
        <f t="shared" si="19"/>
        <v>0.99999999999810274</v>
      </c>
      <c r="AC99" s="60">
        <f t="shared" si="20"/>
        <v>1.4756168248758651E-12</v>
      </c>
      <c r="AD99" s="60" cm="1">
        <f t="array" ref="AD99">OptionTheta(Type,AA99,Sddeux,Tddeux,Iddeux,Vddeux,0)</f>
        <v>2.734252049456641E-3</v>
      </c>
      <c r="AE99" s="60">
        <f t="shared" si="21"/>
        <v>5.4519137469487787E-10</v>
      </c>
      <c r="AF99" s="61" cm="1">
        <f t="array" ref="AF99">OptionRho(Type,AA99,Sddeux,Tddeux,Iddeux,Vddeux,0)</f>
        <v>4.990009993318209E-2</v>
      </c>
      <c r="AL99" s="39">
        <f t="shared" si="22"/>
        <v>-6.8075951939579999</v>
      </c>
    </row>
    <row r="100" spans="1:38" x14ac:dyDescent="0.2">
      <c r="A100" s="65">
        <v>97</v>
      </c>
      <c r="B100" s="60">
        <f t="shared" ref="B100:B103" si="24">OptionDelta(Type,A100,Sd,Td,Id,Vd,0)</f>
        <v>0.99947569218987897</v>
      </c>
      <c r="C100" s="60">
        <f t="shared" si="17"/>
        <v>9.0247822012969254E-5</v>
      </c>
      <c r="D100" s="60" cm="1">
        <f t="array" ref="D100">OptionTheta(Type,A100,Sd,Td,Id,Vd,0)</f>
        <v>2.6048246295464817E-3</v>
      </c>
      <c r="E100" s="60">
        <f t="shared" si="23"/>
        <v>0.17099497075380427</v>
      </c>
      <c r="F100" s="61" cm="1">
        <f t="array" ref="F100">OptionRho(Type,A100,Sd,Td,Id,Vd,0)</f>
        <v>0.24724309221596677</v>
      </c>
      <c r="L100" s="39">
        <f t="shared" si="18"/>
        <v>-2.9707345945580363</v>
      </c>
      <c r="AA100" s="65">
        <v>97</v>
      </c>
      <c r="AB100" s="60">
        <f t="shared" ref="AB100:AB103" si="25">OptionDelta(Type,AA100,Sddeux,Tddeux,Iddeux,Vddeux,0)</f>
        <v>0.99999999999912992</v>
      </c>
      <c r="AC100" s="60">
        <f t="shared" si="20"/>
        <v>6.798808796048425E-13</v>
      </c>
      <c r="AD100" s="60" cm="1">
        <f t="array" ref="AD100">OptionTheta(Type,AA100,Sddeux,Tddeux,Iddeux,Vddeux,0)</f>
        <v>2.7342520503500218E-3</v>
      </c>
      <c r="AE100" s="60">
        <f t="shared" si="21"/>
        <v>2.5763771032034936E-10</v>
      </c>
      <c r="AF100" s="61" cm="1">
        <f t="array" ref="AF100">OptionRho(Type,AA100,Sddeux,Tddeux,Iddeux,Vddeux,0)</f>
        <v>4.990009993328115E-2</v>
      </c>
      <c r="AL100" s="39">
        <f t="shared" si="22"/>
        <v>-6.9168285604233057</v>
      </c>
    </row>
    <row r="101" spans="1:38" x14ac:dyDescent="0.2">
      <c r="A101" s="65">
        <v>98</v>
      </c>
      <c r="B101" s="60">
        <f t="shared" si="24"/>
        <v>0.99955869496911653</v>
      </c>
      <c r="C101" s="60">
        <f t="shared" si="17"/>
        <v>7.61484962161178E-5</v>
      </c>
      <c r="D101" s="60" cm="1">
        <f t="array" ref="D101">OptionTheta(Type,A101,Sd,Td,Id,Vd,0)</f>
        <v>2.6197927224666682E-3</v>
      </c>
      <c r="E101" s="60">
        <f t="shared" si="23"/>
        <v>0.14794364992563486</v>
      </c>
      <c r="F101" s="61" cm="1">
        <f t="array" ref="F101">OptionRho(Type,A101,Sd,Td,Id,Vd,0)</f>
        <v>0.24728355019875389</v>
      </c>
      <c r="L101" s="39">
        <f t="shared" si="18"/>
        <v>-3.0190842000211044</v>
      </c>
      <c r="AA101" s="65">
        <v>98</v>
      </c>
      <c r="AB101" s="60">
        <f t="shared" si="25"/>
        <v>0.99999999999960243</v>
      </c>
      <c r="AC101" s="60">
        <f t="shared" si="20"/>
        <v>3.1206229544446534E-13</v>
      </c>
      <c r="AD101" s="60" cm="1">
        <f t="array" ref="AD101">OptionTheta(Type,AA101,Sddeux,Tddeux,Iddeux,Vddeux,0)</f>
        <v>2.7342520507717162E-3</v>
      </c>
      <c r="AE101" s="60">
        <f t="shared" si="21"/>
        <v>1.2125685282397895E-10</v>
      </c>
      <c r="AF101" s="61" cm="1">
        <f t="array" ref="AF101">OptionRho(Type,AA101,Sddeux,Tddeux,Iddeux,Vddeux,0)</f>
        <v>4.9900099933327183E-2</v>
      </c>
      <c r="AL101" s="39">
        <f t="shared" si="22"/>
        <v>-7.0249415649240223</v>
      </c>
    </row>
    <row r="102" spans="1:38" x14ac:dyDescent="0.2">
      <c r="A102" s="65">
        <v>99</v>
      </c>
      <c r="B102" s="60">
        <f t="shared" si="24"/>
        <v>0.99962871045286483</v>
      </c>
      <c r="C102" s="60">
        <f t="shared" si="17"/>
        <v>6.4214794892703572E-5</v>
      </c>
      <c r="D102" s="60" cm="1">
        <f t="array" ref="D102">OptionTheta(Type,A102,Sd,Td,Id,Vd,0)</f>
        <v>2.6327410882302621E-3</v>
      </c>
      <c r="E102" s="60">
        <f t="shared" si="23"/>
        <v>0.12789334421269838</v>
      </c>
      <c r="F102" s="61" cm="1">
        <f t="array" ref="F102">OptionRho(Type,A102,Sd,Td,Id,Vd,0)</f>
        <v>0.24731802785437454</v>
      </c>
      <c r="L102" s="39">
        <f t="shared" si="18"/>
        <v>-3.0669429380699844</v>
      </c>
      <c r="AA102" s="65">
        <v>99</v>
      </c>
      <c r="AB102" s="60">
        <f t="shared" si="25"/>
        <v>0.99999999999981892</v>
      </c>
      <c r="AC102" s="60">
        <f t="shared" si="20"/>
        <v>1.4271974829800155E-13</v>
      </c>
      <c r="AD102" s="60" cm="1">
        <f t="array" ref="AD102">OptionTheta(Type,AA102,Sddeux,Tddeux,Iddeux,Vddeux,0)</f>
        <v>2.7342520509699292E-3</v>
      </c>
      <c r="AE102" s="60">
        <f t="shared" si="21"/>
        <v>5.684953420944372E-11</v>
      </c>
      <c r="AF102" s="61" cm="1">
        <f t="array" ref="AF102">OptionRho(Type,AA102,Sddeux,Tddeux,Iddeux,Vddeux,0)</f>
        <v>4.9900099933348506E-2</v>
      </c>
      <c r="AL102" s="39">
        <f t="shared" si="22"/>
        <v>-7.1319569565186729</v>
      </c>
    </row>
    <row r="103" spans="1:38" ht="17" thickBot="1" x14ac:dyDescent="0.25">
      <c r="A103" s="66">
        <v>100</v>
      </c>
      <c r="B103" s="62">
        <f t="shared" si="24"/>
        <v>0.99968773764071706</v>
      </c>
      <c r="C103" s="62">
        <f t="shared" si="17"/>
        <v>5.4121905088881696E-5</v>
      </c>
      <c r="D103" s="62" cm="1">
        <f t="array" ref="D103">OptionTheta(Type,A103,Sd,Td,Id,Vd,0)</f>
        <v>2.6439306888151764E-3</v>
      </c>
      <c r="E103" s="62">
        <f t="shared" si="23"/>
        <v>0.1104728208530053</v>
      </c>
      <c r="F103" s="63" cm="1">
        <f t="array" ref="F103">OptionRho(Type,A103,Sd,Td,Id,Vd,0)</f>
        <v>0.24734738967688402</v>
      </c>
      <c r="L103" s="39">
        <f t="shared" si="18"/>
        <v>-3.1143206756380719</v>
      </c>
      <c r="AA103" s="66">
        <v>100</v>
      </c>
      <c r="AB103" s="62">
        <f t="shared" si="25"/>
        <v>0.99999999999991773</v>
      </c>
      <c r="AC103" s="62">
        <f t="shared" si="20"/>
        <v>6.504929718553417E-14</v>
      </c>
      <c r="AD103" s="62" cm="1">
        <f t="array" ref="AD103">OptionTheta(Type,AA103,Sddeux,Tddeux,Iddeux,Vddeux,0)</f>
        <v>2.7342520510627243E-3</v>
      </c>
      <c r="AE103" s="62">
        <f t="shared" si="21"/>
        <v>2.6555529938533628E-11</v>
      </c>
      <c r="AF103" s="63" cm="1">
        <f t="array" ref="AF103">OptionRho(Type,AA103,Sddeux,Tddeux,Iddeux,Vddeux,0)</f>
        <v>4.9900099933358331E-2</v>
      </c>
      <c r="AL103" s="39">
        <f t="shared" si="22"/>
        <v>-7.2378967983410627</v>
      </c>
    </row>
  </sheetData>
  <mergeCells count="2">
    <mergeCell ref="B2:F2"/>
    <mergeCell ref="B1:F1"/>
  </mergeCells>
  <conditionalFormatting sqref="B4:B103">
    <cfRule type="colorScale" priority="10">
      <colorScale>
        <cfvo type="min"/>
        <cfvo type="max"/>
        <color rgb="FFFCFCFF"/>
        <color rgb="FF63BE7B"/>
      </colorScale>
    </cfRule>
  </conditionalFormatting>
  <conditionalFormatting sqref="C4:C103">
    <cfRule type="colorScale" priority="9">
      <colorScale>
        <cfvo type="min"/>
        <cfvo type="max"/>
        <color rgb="FFFCFCFF"/>
        <color rgb="FF63BE7B"/>
      </colorScale>
    </cfRule>
  </conditionalFormatting>
  <conditionalFormatting sqref="D4:D103">
    <cfRule type="colorScale" priority="8">
      <colorScale>
        <cfvo type="min"/>
        <cfvo type="max"/>
        <color rgb="FFFCFCFF"/>
        <color rgb="FF63BE7B"/>
      </colorScale>
    </cfRule>
  </conditionalFormatting>
  <conditionalFormatting sqref="E4:E103">
    <cfRule type="colorScale" priority="7">
      <colorScale>
        <cfvo type="min"/>
        <cfvo type="max"/>
        <color rgb="FFFCFCFF"/>
        <color rgb="FF63BE7B"/>
      </colorScale>
    </cfRule>
  </conditionalFormatting>
  <conditionalFormatting sqref="F4:F103">
    <cfRule type="colorScale" priority="6">
      <colorScale>
        <cfvo type="min"/>
        <cfvo type="max"/>
        <color rgb="FFFCFCFF"/>
        <color rgb="FF63BE7B"/>
      </colorScale>
    </cfRule>
  </conditionalFormatting>
  <conditionalFormatting sqref="AB4:AB103">
    <cfRule type="colorScale" priority="5">
      <colorScale>
        <cfvo type="min"/>
        <cfvo type="max"/>
        <color rgb="FFFCFCFF"/>
        <color rgb="FF63BE7B"/>
      </colorScale>
    </cfRule>
  </conditionalFormatting>
  <conditionalFormatting sqref="AC4:AC103">
    <cfRule type="colorScale" priority="4">
      <colorScale>
        <cfvo type="min"/>
        <cfvo type="max"/>
        <color rgb="FFFCFCFF"/>
        <color rgb="FF63BE7B"/>
      </colorScale>
    </cfRule>
  </conditionalFormatting>
  <conditionalFormatting sqref="AD4:AD103">
    <cfRule type="colorScale" priority="3">
      <colorScale>
        <cfvo type="min"/>
        <cfvo type="max"/>
        <color rgb="FFFCFCFF"/>
        <color rgb="FF63BE7B"/>
      </colorScale>
    </cfRule>
  </conditionalFormatting>
  <conditionalFormatting sqref="AE4:AE103">
    <cfRule type="colorScale" priority="2">
      <colorScale>
        <cfvo type="min"/>
        <cfvo type="max"/>
        <color rgb="FFFCFCFF"/>
        <color rgb="FF63BE7B"/>
      </colorScale>
    </cfRule>
  </conditionalFormatting>
  <conditionalFormatting sqref="AF4:AF103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610F3-0F55-3E45-A76B-AFBA8B7845FC}">
  <sheetPr codeName="Feuil2"/>
  <dimension ref="H3:AB52"/>
  <sheetViews>
    <sheetView topLeftCell="H1" zoomScale="113" workbookViewId="0">
      <selection activeCell="AB4" sqref="AB4"/>
    </sheetView>
  </sheetViews>
  <sheetFormatPr baseColWidth="10" defaultRowHeight="16" x14ac:dyDescent="0.2"/>
  <sheetData>
    <row r="3" spans="9:28" x14ac:dyDescent="0.2">
      <c r="X3">
        <f>V4+V5*2</f>
        <v>8</v>
      </c>
      <c r="Y3">
        <v>3</v>
      </c>
      <c r="Z3">
        <v>6</v>
      </c>
      <c r="AA3">
        <v>9</v>
      </c>
      <c r="AB3" t="s">
        <v>72</v>
      </c>
    </row>
    <row r="4" spans="9:28" x14ac:dyDescent="0.2">
      <c r="U4" t="s">
        <v>69</v>
      </c>
      <c r="V4">
        <v>4</v>
      </c>
      <c r="X4">
        <v>1</v>
      </c>
      <c r="Y4">
        <f t="dataTable" ref="Y4:AA6" dt2D="1" dtr="1" r1="V4" r2="V5"/>
        <v>5</v>
      </c>
      <c r="Z4">
        <v>8</v>
      </c>
      <c r="AA4">
        <v>11</v>
      </c>
    </row>
    <row r="5" spans="9:28" x14ac:dyDescent="0.2">
      <c r="U5" t="s">
        <v>70</v>
      </c>
      <c r="V5">
        <v>2</v>
      </c>
      <c r="X5">
        <v>2</v>
      </c>
      <c r="Y5">
        <v>7</v>
      </c>
      <c r="Z5">
        <v>10</v>
      </c>
      <c r="AA5">
        <v>13</v>
      </c>
    </row>
    <row r="6" spans="9:28" x14ac:dyDescent="0.2">
      <c r="X6">
        <v>3</v>
      </c>
      <c r="Y6">
        <v>9</v>
      </c>
      <c r="Z6">
        <v>12</v>
      </c>
      <c r="AA6">
        <v>15</v>
      </c>
    </row>
    <row r="7" spans="9:28" x14ac:dyDescent="0.2">
      <c r="X7" t="s">
        <v>71</v>
      </c>
    </row>
    <row r="12" spans="9:28" x14ac:dyDescent="0.2">
      <c r="K12">
        <f>AVERAGE(J15:J24)</f>
        <v>3.3</v>
      </c>
    </row>
    <row r="13" spans="9:28" x14ac:dyDescent="0.2">
      <c r="K13">
        <f>VAR(J15:J24)</f>
        <v>3.566666666666666</v>
      </c>
    </row>
    <row r="15" spans="9:28" x14ac:dyDescent="0.2">
      <c r="I15">
        <v>1</v>
      </c>
      <c r="J15">
        <v>1</v>
      </c>
      <c r="K15">
        <f t="shared" ref="K15:K24" si="0">_xlfn.NORM.DIST(J15,$K$12,SQRT($K$13),TRUE)</f>
        <v>0.11163901151458497</v>
      </c>
      <c r="L15">
        <v>1</v>
      </c>
    </row>
    <row r="16" spans="9:28" x14ac:dyDescent="0.2">
      <c r="I16">
        <v>2</v>
      </c>
      <c r="J16">
        <v>2</v>
      </c>
      <c r="K16">
        <f t="shared" si="0"/>
        <v>0.24561481703029681</v>
      </c>
      <c r="L16">
        <v>2</v>
      </c>
    </row>
    <row r="17" spans="8:26" x14ac:dyDescent="0.2">
      <c r="I17">
        <v>3</v>
      </c>
      <c r="J17">
        <v>4</v>
      </c>
      <c r="K17">
        <f t="shared" si="0"/>
        <v>0.64455176388803459</v>
      </c>
      <c r="L17">
        <v>3</v>
      </c>
    </row>
    <row r="18" spans="8:26" x14ac:dyDescent="0.2">
      <c r="I18">
        <v>4</v>
      </c>
      <c r="J18">
        <v>4</v>
      </c>
      <c r="K18">
        <f t="shared" si="0"/>
        <v>0.64455176388803459</v>
      </c>
      <c r="L18">
        <v>4</v>
      </c>
    </row>
    <row r="19" spans="8:26" x14ac:dyDescent="0.2">
      <c r="I19">
        <v>5</v>
      </c>
      <c r="J19">
        <v>5</v>
      </c>
      <c r="K19">
        <f t="shared" si="0"/>
        <v>0.81598131446326361</v>
      </c>
      <c r="L19">
        <v>5</v>
      </c>
    </row>
    <row r="20" spans="8:26" x14ac:dyDescent="0.2">
      <c r="I20">
        <v>6</v>
      </c>
      <c r="J20">
        <v>7</v>
      </c>
      <c r="K20">
        <f t="shared" si="0"/>
        <v>0.9749531212042829</v>
      </c>
      <c r="L20">
        <v>6</v>
      </c>
    </row>
    <row r="21" spans="8:26" x14ac:dyDescent="0.2">
      <c r="I21">
        <v>7</v>
      </c>
      <c r="J21">
        <v>4</v>
      </c>
      <c r="K21">
        <f t="shared" si="0"/>
        <v>0.64455176388803459</v>
      </c>
      <c r="L21">
        <v>7</v>
      </c>
    </row>
    <row r="22" spans="8:26" x14ac:dyDescent="0.2">
      <c r="I22">
        <v>8</v>
      </c>
      <c r="J22">
        <v>3</v>
      </c>
      <c r="K22">
        <f t="shared" si="0"/>
        <v>0.43689312758101834</v>
      </c>
      <c r="L22">
        <v>8</v>
      </c>
      <c r="S22">
        <v>2.5999999999999996</v>
      </c>
      <c r="T22">
        <v>7.5000000000000009</v>
      </c>
    </row>
    <row r="23" spans="8:26" x14ac:dyDescent="0.2">
      <c r="I23">
        <v>9</v>
      </c>
      <c r="J23">
        <v>2</v>
      </c>
      <c r="K23">
        <f t="shared" si="0"/>
        <v>0.24561481703029681</v>
      </c>
      <c r="L23">
        <v>9</v>
      </c>
    </row>
    <row r="24" spans="8:26" x14ac:dyDescent="0.2">
      <c r="I24">
        <v>10</v>
      </c>
      <c r="J24">
        <v>1</v>
      </c>
      <c r="K24">
        <f t="shared" si="0"/>
        <v>0.11163901151458497</v>
      </c>
      <c r="L24">
        <v>10</v>
      </c>
    </row>
    <row r="26" spans="8:26" x14ac:dyDescent="0.2">
      <c r="U26">
        <v>95</v>
      </c>
    </row>
    <row r="27" spans="8:26" x14ac:dyDescent="0.2">
      <c r="U27">
        <f>SUM(U29:U32)</f>
        <v>4000</v>
      </c>
    </row>
    <row r="29" spans="8:26" ht="17" thickBot="1" x14ac:dyDescent="0.25">
      <c r="T29">
        <v>100</v>
      </c>
      <c r="U29">
        <v>1000</v>
      </c>
      <c r="V29" s="25">
        <f>(T29/U$26-1)</f>
        <v>5.2631578947368363E-2</v>
      </c>
      <c r="W29">
        <f>U29*(1+V29)</f>
        <v>1052.6315789473683</v>
      </c>
    </row>
    <row r="30" spans="8:26" x14ac:dyDescent="0.2">
      <c r="I30" s="14" t="s">
        <v>17</v>
      </c>
      <c r="J30" s="15" t="s">
        <v>18</v>
      </c>
      <c r="K30" s="14" t="s">
        <v>17</v>
      </c>
      <c r="L30" s="15" t="s">
        <v>18</v>
      </c>
      <c r="T30">
        <v>101</v>
      </c>
      <c r="U30">
        <v>1000</v>
      </c>
      <c r="V30" s="25">
        <f t="shared" ref="V30:V32" si="1">(T30/U$26-1)</f>
        <v>6.315789473684208E-2</v>
      </c>
      <c r="W30">
        <f t="shared" ref="W30:W32" si="2">U30*(1+V30)</f>
        <v>1063.1578947368421</v>
      </c>
    </row>
    <row r="31" spans="8:26" x14ac:dyDescent="0.2">
      <c r="H31">
        <v>0</v>
      </c>
      <c r="I31" s="16">
        <v>100</v>
      </c>
      <c r="J31" s="17"/>
      <c r="K31" s="16">
        <f>LN(I31)</f>
        <v>4.6051701859880918</v>
      </c>
      <c r="L31" s="17"/>
      <c r="T31">
        <v>102</v>
      </c>
      <c r="U31">
        <v>1000</v>
      </c>
      <c r="V31" s="25">
        <f t="shared" si="1"/>
        <v>7.3684210526315796E-2</v>
      </c>
      <c r="W31">
        <f t="shared" si="2"/>
        <v>1073.6842105263158</v>
      </c>
    </row>
    <row r="32" spans="8:26" x14ac:dyDescent="0.2">
      <c r="H32">
        <v>1</v>
      </c>
      <c r="I32" s="16">
        <v>200</v>
      </c>
      <c r="J32" s="18">
        <f>I32/I31-1</f>
        <v>1</v>
      </c>
      <c r="K32" s="16">
        <f>LN(I32)</f>
        <v>5.2983173665480363</v>
      </c>
      <c r="L32" s="18">
        <f>K32/K31-1</f>
        <v>0.1505149978319904</v>
      </c>
      <c r="T32">
        <v>103</v>
      </c>
      <c r="U32">
        <v>1000</v>
      </c>
      <c r="V32" s="25">
        <f t="shared" si="1"/>
        <v>8.4210526315789513E-2</v>
      </c>
      <c r="W32">
        <f t="shared" si="2"/>
        <v>1084.2105263157896</v>
      </c>
      <c r="X32">
        <v>4000</v>
      </c>
      <c r="Y32" s="25">
        <f>(T32/U$26-1)</f>
        <v>8.4210526315789513E-2</v>
      </c>
      <c r="Z32">
        <f t="shared" ref="Z32" si="3">X32*(1+Y32)</f>
        <v>4336.8421052631584</v>
      </c>
    </row>
    <row r="33" spans="8:26" ht="17" thickBot="1" x14ac:dyDescent="0.25">
      <c r="H33">
        <v>2</v>
      </c>
      <c r="I33" s="19">
        <v>100</v>
      </c>
      <c r="J33" s="20">
        <f>I33/I32-1</f>
        <v>-0.5</v>
      </c>
      <c r="K33" s="19">
        <f>LN(I33)</f>
        <v>4.6051701859880918</v>
      </c>
      <c r="L33" s="20">
        <f>K33/K32-1</f>
        <v>-0.13082402064781262</v>
      </c>
    </row>
    <row r="34" spans="8:26" ht="17" thickBot="1" x14ac:dyDescent="0.25">
      <c r="I34">
        <v>144</v>
      </c>
      <c r="J34" s="20">
        <f t="shared" ref="J34:J40" si="4">I34/I33-1</f>
        <v>0.43999999999999995</v>
      </c>
      <c r="K34" s="19">
        <f t="shared" ref="K34:K40" si="5">LN(I34)</f>
        <v>4.9698132995760007</v>
      </c>
      <c r="L34" s="20">
        <f t="shared" ref="L34:L40" si="6">K34/K33-1</f>
        <v>7.9181246047624665E-2</v>
      </c>
      <c r="W34">
        <f>SUM(W29:W32)</f>
        <v>4273.6842105263158</v>
      </c>
      <c r="Z34">
        <f>SUM(Z29:Z32)</f>
        <v>4336.8421052631584</v>
      </c>
    </row>
    <row r="35" spans="8:26" ht="17" thickBot="1" x14ac:dyDescent="0.25">
      <c r="I35">
        <v>160</v>
      </c>
      <c r="J35" s="20">
        <f t="shared" si="4"/>
        <v>0.11111111111111116</v>
      </c>
      <c r="K35" s="19">
        <f t="shared" si="5"/>
        <v>5.0751738152338266</v>
      </c>
      <c r="L35" s="20">
        <f t="shared" si="6"/>
        <v>2.1200095316822987E-2</v>
      </c>
      <c r="O35" t="s">
        <v>19</v>
      </c>
    </row>
    <row r="36" spans="8:26" ht="17" thickBot="1" x14ac:dyDescent="0.25">
      <c r="I36">
        <v>178</v>
      </c>
      <c r="J36" s="20">
        <f t="shared" si="4"/>
        <v>0.11250000000000004</v>
      </c>
      <c r="K36" s="19">
        <f t="shared" si="5"/>
        <v>5.181783550292085</v>
      </c>
      <c r="L36" s="20">
        <f t="shared" si="6"/>
        <v>2.1006124901230994E-2</v>
      </c>
    </row>
    <row r="37" spans="8:26" ht="17" thickBot="1" x14ac:dyDescent="0.25">
      <c r="I37">
        <v>200</v>
      </c>
      <c r="J37" s="20">
        <f t="shared" si="4"/>
        <v>0.12359550561797761</v>
      </c>
      <c r="K37" s="19">
        <f t="shared" si="5"/>
        <v>5.2983173665480363</v>
      </c>
      <c r="L37" s="20">
        <f t="shared" si="6"/>
        <v>2.2489132385582256E-2</v>
      </c>
      <c r="O37" s="24" t="s">
        <v>20</v>
      </c>
      <c r="P37" s="24"/>
    </row>
    <row r="38" spans="8:26" ht="17" thickBot="1" x14ac:dyDescent="0.25">
      <c r="I38">
        <v>213</v>
      </c>
      <c r="J38" s="20">
        <f t="shared" si="4"/>
        <v>6.4999999999999947E-2</v>
      </c>
      <c r="K38" s="19">
        <f t="shared" si="5"/>
        <v>5.3612921657094255</v>
      </c>
      <c r="L38" s="20">
        <f t="shared" si="6"/>
        <v>1.1885811061261187E-2</v>
      </c>
      <c r="O38" t="s">
        <v>21</v>
      </c>
      <c r="P38">
        <v>0.99705448550158149</v>
      </c>
    </row>
    <row r="39" spans="8:26" ht="17" thickBot="1" x14ac:dyDescent="0.25">
      <c r="I39">
        <v>150</v>
      </c>
      <c r="J39" s="20">
        <f t="shared" si="4"/>
        <v>-0.29577464788732399</v>
      </c>
      <c r="K39" s="19">
        <f t="shared" si="5"/>
        <v>5.0106352940962555</v>
      </c>
      <c r="L39" s="20">
        <f t="shared" si="6"/>
        <v>-6.5405290511111325E-2</v>
      </c>
      <c r="O39" t="s">
        <v>22</v>
      </c>
      <c r="P39">
        <v>0.99411764705882344</v>
      </c>
    </row>
    <row r="40" spans="8:26" ht="17" thickBot="1" x14ac:dyDescent="0.25">
      <c r="I40">
        <v>100</v>
      </c>
      <c r="J40" s="20">
        <f t="shared" si="4"/>
        <v>-0.33333333333333337</v>
      </c>
      <c r="K40" s="19">
        <f t="shared" si="5"/>
        <v>4.6051701859880918</v>
      </c>
      <c r="L40" s="20">
        <f t="shared" si="6"/>
        <v>-8.0920898111642603E-2</v>
      </c>
      <c r="O40" t="s">
        <v>22</v>
      </c>
      <c r="P40">
        <v>0.9911764705882351</v>
      </c>
    </row>
    <row r="41" spans="8:26" x14ac:dyDescent="0.2">
      <c r="O41" t="s">
        <v>23</v>
      </c>
      <c r="P41">
        <v>0.31622776601683816</v>
      </c>
    </row>
    <row r="42" spans="8:26" ht="17" thickBot="1" x14ac:dyDescent="0.25">
      <c r="O42" s="22" t="s">
        <v>24</v>
      </c>
      <c r="P42" s="22">
        <v>4</v>
      </c>
    </row>
    <row r="43" spans="8:26" x14ac:dyDescent="0.2">
      <c r="J43" s="13">
        <f>AVERAGE(J32:J40)</f>
        <v>8.0344292834270151E-2</v>
      </c>
      <c r="L43" s="13">
        <f>AVERAGE(L32:L40)</f>
        <v>3.2363553637717712E-3</v>
      </c>
    </row>
    <row r="44" spans="8:26" ht="17" thickBot="1" x14ac:dyDescent="0.25">
      <c r="J44" s="21">
        <f>STDEV(J32:J40)</f>
        <v>0.45119281949987028</v>
      </c>
      <c r="L44" s="21">
        <f>STDEV(L32:L40)</f>
        <v>8.5373350200017614E-2</v>
      </c>
      <c r="O44" t="s">
        <v>25</v>
      </c>
    </row>
    <row r="45" spans="8:26" x14ac:dyDescent="0.2">
      <c r="O45" s="23"/>
      <c r="P45" s="23" t="s">
        <v>30</v>
      </c>
      <c r="Q45" s="23" t="s">
        <v>31</v>
      </c>
      <c r="R45" s="23" t="s">
        <v>32</v>
      </c>
      <c r="S45" s="23" t="s">
        <v>33</v>
      </c>
      <c r="T45" s="23" t="s">
        <v>34</v>
      </c>
    </row>
    <row r="46" spans="8:26" x14ac:dyDescent="0.2">
      <c r="O46" t="s">
        <v>26</v>
      </c>
      <c r="P46">
        <v>1</v>
      </c>
      <c r="Q46">
        <v>33.799999999999997</v>
      </c>
      <c r="R46">
        <v>33.799999999999997</v>
      </c>
      <c r="S46">
        <v>337.99999999999943</v>
      </c>
      <c r="T46">
        <v>2.9455144984184369E-3</v>
      </c>
    </row>
    <row r="47" spans="8:26" x14ac:dyDescent="0.2">
      <c r="O47" t="s">
        <v>27</v>
      </c>
      <c r="P47">
        <v>2</v>
      </c>
      <c r="Q47">
        <v>0.20000000000000032</v>
      </c>
      <c r="R47">
        <v>0.10000000000000016</v>
      </c>
    </row>
    <row r="48" spans="8:26" ht="17" thickBot="1" x14ac:dyDescent="0.25">
      <c r="O48" s="22" t="s">
        <v>28</v>
      </c>
      <c r="P48" s="22">
        <v>3</v>
      </c>
      <c r="Q48" s="22">
        <v>34</v>
      </c>
      <c r="R48" s="22"/>
      <c r="S48" s="22"/>
      <c r="T48" s="22"/>
    </row>
    <row r="49" spans="15:23" ht="17" thickBot="1" x14ac:dyDescent="0.25"/>
    <row r="50" spans="15:23" x14ac:dyDescent="0.2">
      <c r="O50" s="23"/>
      <c r="P50" s="23" t="s">
        <v>35</v>
      </c>
      <c r="Q50" s="23" t="s">
        <v>23</v>
      </c>
      <c r="R50" s="23" t="s">
        <v>36</v>
      </c>
      <c r="S50" s="23" t="s">
        <v>37</v>
      </c>
      <c r="T50" s="23" t="s">
        <v>38</v>
      </c>
      <c r="U50" s="23" t="s">
        <v>39</v>
      </c>
      <c r="V50" s="23" t="s">
        <v>40</v>
      </c>
      <c r="W50" s="23" t="s">
        <v>41</v>
      </c>
    </row>
    <row r="51" spans="15:23" x14ac:dyDescent="0.2">
      <c r="O51" t="s">
        <v>29</v>
      </c>
      <c r="P51">
        <v>7.5000000000000009</v>
      </c>
      <c r="Q51">
        <v>0.38729833462074198</v>
      </c>
      <c r="R51">
        <v>19.364916731037074</v>
      </c>
      <c r="S51">
        <v>2.6560471872296024E-3</v>
      </c>
      <c r="T51">
        <v>5.8335897633166445</v>
      </c>
      <c r="U51">
        <v>9.1664102366833582</v>
      </c>
      <c r="V51">
        <v>5.8335897633166445</v>
      </c>
      <c r="W51">
        <v>9.1664102366833582</v>
      </c>
    </row>
    <row r="52" spans="15:23" ht="17" thickBot="1" x14ac:dyDescent="0.25">
      <c r="O52" s="22" t="s">
        <v>42</v>
      </c>
      <c r="P52" s="22">
        <v>2.5999999999999996</v>
      </c>
      <c r="Q52" s="22">
        <v>0.14142135623730961</v>
      </c>
      <c r="R52" s="22">
        <v>18.384776310850217</v>
      </c>
      <c r="S52" s="22">
        <v>2.9455144984184382E-3</v>
      </c>
      <c r="T52" s="22">
        <v>1.9915130155406682</v>
      </c>
      <c r="U52" s="22">
        <v>3.2084869844593311</v>
      </c>
      <c r="V52" s="22">
        <v>1.9915130155406682</v>
      </c>
      <c r="W52" s="22">
        <v>3.2084869844593311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35</vt:i4>
      </vt:variant>
    </vt:vector>
  </HeadingPairs>
  <TitlesOfParts>
    <vt:vector size="40" baseType="lpstr">
      <vt:lpstr>Sheet1</vt:lpstr>
      <vt:lpstr>FXOBS</vt:lpstr>
      <vt:lpstr>BS</vt:lpstr>
      <vt:lpstr>Greeks</vt:lpstr>
      <vt:lpstr>Feuil1</vt:lpstr>
      <vt:lpstr>FXOBS!CallPrice</vt:lpstr>
      <vt:lpstr>CallPrice</vt:lpstr>
      <vt:lpstr>FXOBS!dOne</vt:lpstr>
      <vt:lpstr>dOne</vt:lpstr>
      <vt:lpstr>FXOBS!dTwo</vt:lpstr>
      <vt:lpstr>dTwo</vt:lpstr>
      <vt:lpstr>fw</vt:lpstr>
      <vt:lpstr>Id</vt:lpstr>
      <vt:lpstr>Iddeux</vt:lpstr>
      <vt:lpstr>FXOBS!IR</vt:lpstr>
      <vt:lpstr>IR</vt:lpstr>
      <vt:lpstr>IRD</vt:lpstr>
      <vt:lpstr>IRF</vt:lpstr>
      <vt:lpstr>FXOBS!K</vt:lpstr>
      <vt:lpstr>K</vt:lpstr>
      <vt:lpstr>FXOBS!ndOne</vt:lpstr>
      <vt:lpstr>ndOne</vt:lpstr>
      <vt:lpstr>FXOBS!ndTwo</vt:lpstr>
      <vt:lpstr>ndTwo</vt:lpstr>
      <vt:lpstr>PutPrice</vt:lpstr>
      <vt:lpstr>FXOBS!S</vt:lpstr>
      <vt:lpstr>S</vt:lpstr>
      <vt:lpstr>Sd</vt:lpstr>
      <vt:lpstr>Sddeux</vt:lpstr>
      <vt:lpstr>FXOBS!Sigma</vt:lpstr>
      <vt:lpstr>Sigma</vt:lpstr>
      <vt:lpstr>Spot</vt:lpstr>
      <vt:lpstr>FXOBS!T</vt:lpstr>
      <vt:lpstr>T</vt:lpstr>
      <vt:lpstr>Td</vt:lpstr>
      <vt:lpstr>Tddeux</vt:lpstr>
      <vt:lpstr>Tdeux</vt:lpstr>
      <vt:lpstr>Type</vt:lpstr>
      <vt:lpstr>Vd</vt:lpstr>
      <vt:lpstr>Vddeux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Guillaume RATOUCHNIAK</cp:lastModifiedBy>
  <dcterms:created xsi:type="dcterms:W3CDTF">2022-12-02T12:59:45Z</dcterms:created>
  <dcterms:modified xsi:type="dcterms:W3CDTF">2025-03-23T14:36:13Z</dcterms:modified>
</cp:coreProperties>
</file>